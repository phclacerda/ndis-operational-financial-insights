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pedrolacerda\Desktop\Documents\Personal\"/>
    </mc:Choice>
  </mc:AlternateContent>
  <xr:revisionPtr revIDLastSave="0" documentId="13_ncr:2001_{6B55688E-2D65-4805-A748-2FC900F5DE16}" xr6:coauthVersionLast="47" xr6:coauthVersionMax="47" xr10:uidLastSave="{00000000-0000-0000-0000-000000000000}"/>
  <bookViews>
    <workbookView xWindow="-28920" yWindow="3675" windowWidth="29040" windowHeight="15720" xr2:uid="{C37B0055-4D1A-4034-BCFD-932EB77E6654}"/>
  </bookViews>
  <sheets>
    <sheet name="ndis_dataset" sheetId="1" r:id="rId1"/>
    <sheet name="Working Sheet" sheetId="8" r:id="rId2"/>
    <sheet name="Pivot Tables" sheetId="5" r:id="rId3"/>
    <sheet name="Charts" sheetId="6" r:id="rId4"/>
    <sheet name="Final Dashboard" sheetId="7" r:id="rId5"/>
  </sheets>
  <definedNames>
    <definedName name="_xlnm._FilterDatabase" localSheetId="0" hidden="1">ndis_dataset!$A$1:$T$1</definedName>
    <definedName name="Slicer_Region">#N/A</definedName>
    <definedName name="Slicer_SupportCategory_Short">#N/A</definedName>
  </definedNames>
  <calcPr calcId="191029"/>
  <pivotCaches>
    <pivotCache cacheId="9" r:id="rId6"/>
  </pivotCaches>
  <fileRecoveryPr repairLoad="1"/>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2" i="1"/>
  <c r="G42" i="5" l="1" a="1"/>
  <c r="G42" i="5" s="1"/>
  <c r="H42" i="5" l="1" a="1"/>
  <c r="H42"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<sst xmlns="http://schemas.openxmlformats.org/spreadsheetml/2006/main" count="693" uniqueCount="302">
  <si>
    <t>ParticipantID</t>
  </si>
  <si>
    <t>FirstName</t>
  </si>
  <si>
    <t>LastName</t>
  </si>
  <si>
    <t>DOB</t>
  </si>
  <si>
    <t>Region</t>
  </si>
  <si>
    <t>ServiceAgreementID</t>
  </si>
  <si>
    <t>DaysRemaining</t>
  </si>
  <si>
    <t>SupportCategory</t>
  </si>
  <si>
    <t>TotalAllocation</t>
  </si>
  <si>
    <t>TotalDelivered</t>
  </si>
  <si>
    <t>UtilisationPercentage</t>
  </si>
  <si>
    <t>CostPerHour</t>
  </si>
  <si>
    <t>RevenuePerHour</t>
  </si>
  <si>
    <t>TotalCost</t>
  </si>
  <si>
    <t>TotalRevenue</t>
  </si>
  <si>
    <t>Margin</t>
  </si>
  <si>
    <t>P0001</t>
  </si>
  <si>
    <t>Casey</t>
  </si>
  <si>
    <t>Smith</t>
  </si>
  <si>
    <t>Newcastle</t>
  </si>
  <si>
    <t>SA-18728464</t>
  </si>
  <si>
    <t>Assistance with Social, Economic and Community Participation</t>
  </si>
  <si>
    <t>P0002</t>
  </si>
  <si>
    <t>Parker</t>
  </si>
  <si>
    <t>Brown</t>
  </si>
  <si>
    <t>Tweed Heads</t>
  </si>
  <si>
    <t>SA-03999316</t>
  </si>
  <si>
    <t>P0003</t>
  </si>
  <si>
    <t>Pat</t>
  </si>
  <si>
    <t>Jackson</t>
  </si>
  <si>
    <t>Sydney</t>
  </si>
  <si>
    <t>SA-96102526</t>
  </si>
  <si>
    <t>P0004</t>
  </si>
  <si>
    <t>Martinez</t>
  </si>
  <si>
    <t>SA-00872249</t>
  </si>
  <si>
    <t>Support Coordination/Recovery Coach</t>
  </si>
  <si>
    <t>P0005</t>
  </si>
  <si>
    <t>Charlie</t>
  </si>
  <si>
    <t>Martin</t>
  </si>
  <si>
    <t>SA-45176956</t>
  </si>
  <si>
    <t>P0006</t>
  </si>
  <si>
    <t>Taylor</t>
  </si>
  <si>
    <t>Garcia</t>
  </si>
  <si>
    <t>Port Macquarie</t>
  </si>
  <si>
    <t>SA-81030737</t>
  </si>
  <si>
    <t>P0007</t>
  </si>
  <si>
    <t>Jordan</t>
  </si>
  <si>
    <t>Robinson</t>
  </si>
  <si>
    <t>SA-10576384</t>
  </si>
  <si>
    <t>P0008</t>
  </si>
  <si>
    <t>Riley</t>
  </si>
  <si>
    <t>Hall</t>
  </si>
  <si>
    <t>SA-06150445</t>
  </si>
  <si>
    <t>P0009</t>
  </si>
  <si>
    <t>Jamie</t>
  </si>
  <si>
    <t>Harris</t>
  </si>
  <si>
    <t>SA-51019679</t>
  </si>
  <si>
    <t>P0010</t>
  </si>
  <si>
    <t>Quinn</t>
  </si>
  <si>
    <t>Thompson</t>
  </si>
  <si>
    <t>SA-28119558</t>
  </si>
  <si>
    <t>P0011</t>
  </si>
  <si>
    <t>Morgan</t>
  </si>
  <si>
    <t>SA-21931512</t>
  </si>
  <si>
    <t>P0012</t>
  </si>
  <si>
    <t>Harper</t>
  </si>
  <si>
    <t>White</t>
  </si>
  <si>
    <t>SA-07507865</t>
  </si>
  <si>
    <t>P0013</t>
  </si>
  <si>
    <t>SA-28317638</t>
  </si>
  <si>
    <t>P0014</t>
  </si>
  <si>
    <t>Logan</t>
  </si>
  <si>
    <t>Thomas</t>
  </si>
  <si>
    <t>SA-86282118</t>
  </si>
  <si>
    <t>P0015</t>
  </si>
  <si>
    <t>Sam</t>
  </si>
  <si>
    <t>SA-78461804</t>
  </si>
  <si>
    <t>P0016</t>
  </si>
  <si>
    <t>Rowan</t>
  </si>
  <si>
    <t>SA-68387462</t>
  </si>
  <si>
    <t>P0017</t>
  </si>
  <si>
    <t>Johnson</t>
  </si>
  <si>
    <t>SA-91332643</t>
  </si>
  <si>
    <t>P0018</t>
  </si>
  <si>
    <t>Drew</t>
  </si>
  <si>
    <t>SA-71016526</t>
  </si>
  <si>
    <t>P0019</t>
  </si>
  <si>
    <t>SA-14972280</t>
  </si>
  <si>
    <t>P0020</t>
  </si>
  <si>
    <t>Anderson</t>
  </si>
  <si>
    <t>SA-67187531</t>
  </si>
  <si>
    <t>P0021</t>
  </si>
  <si>
    <t>Elliot</t>
  </si>
  <si>
    <t>Wilson</t>
  </si>
  <si>
    <t>SA-20513740</t>
  </si>
  <si>
    <t>P0022</t>
  </si>
  <si>
    <t>Chris</t>
  </si>
  <si>
    <t>Lewis</t>
  </si>
  <si>
    <t>SA-65579549</t>
  </si>
  <si>
    <t>P0023</t>
  </si>
  <si>
    <t>SA-32329238</t>
  </si>
  <si>
    <t>P0024</t>
  </si>
  <si>
    <t>SA-17232411</t>
  </si>
  <si>
    <t>P0025</t>
  </si>
  <si>
    <t>Finley</t>
  </si>
  <si>
    <t>SA-28427074</t>
  </si>
  <si>
    <t>P0026</t>
  </si>
  <si>
    <t>SA-69467854</t>
  </si>
  <si>
    <t>P0027</t>
  </si>
  <si>
    <t>SA-02823171</t>
  </si>
  <si>
    <t>P0028</t>
  </si>
  <si>
    <t>SA-09528531</t>
  </si>
  <si>
    <t>P0029</t>
  </si>
  <si>
    <t>SA-09510313</t>
  </si>
  <si>
    <t>P0030</t>
  </si>
  <si>
    <t>SA-72374754</t>
  </si>
  <si>
    <t>P0031</t>
  </si>
  <si>
    <t>Walker</t>
  </si>
  <si>
    <t>SA-54634664</t>
  </si>
  <si>
    <t>P0032</t>
  </si>
  <si>
    <t>SA-56851761</t>
  </si>
  <si>
    <t>P0033</t>
  </si>
  <si>
    <t>SA-54038914</t>
  </si>
  <si>
    <t>P0034</t>
  </si>
  <si>
    <t>SA-18814950</t>
  </si>
  <si>
    <t>P0035</t>
  </si>
  <si>
    <t>SA-59476002</t>
  </si>
  <si>
    <t>P0036</t>
  </si>
  <si>
    <t>SA-31726319</t>
  </si>
  <si>
    <t>P0037</t>
  </si>
  <si>
    <t>Clark</t>
  </si>
  <si>
    <t>SA-07869911</t>
  </si>
  <si>
    <t>P0038</t>
  </si>
  <si>
    <t>SA-38285504</t>
  </si>
  <si>
    <t>P0039</t>
  </si>
  <si>
    <t>SA-29219320</t>
  </si>
  <si>
    <t>P0040</t>
  </si>
  <si>
    <t>SA-06729991</t>
  </si>
  <si>
    <t>P0041</t>
  </si>
  <si>
    <t>Rodriguez</t>
  </si>
  <si>
    <t>SA-68159588</t>
  </si>
  <si>
    <t>P0042</t>
  </si>
  <si>
    <t>SA-54193838</t>
  </si>
  <si>
    <t>P0043</t>
  </si>
  <si>
    <t>SA-56267416</t>
  </si>
  <si>
    <t>P0044</t>
  </si>
  <si>
    <t>SA-27415206</t>
  </si>
  <si>
    <t>P0045</t>
  </si>
  <si>
    <t>SA-90152736</t>
  </si>
  <si>
    <t>P0046</t>
  </si>
  <si>
    <t>SA-61510042</t>
  </si>
  <si>
    <t>P0047</t>
  </si>
  <si>
    <t>SA-17778020</t>
  </si>
  <si>
    <t>P0048</t>
  </si>
  <si>
    <t>SA-58812138</t>
  </si>
  <si>
    <t>P0049</t>
  </si>
  <si>
    <t>SA-89038527</t>
  </si>
  <si>
    <t>P0050</t>
  </si>
  <si>
    <t>SA-36553959</t>
  </si>
  <si>
    <t>P0051</t>
  </si>
  <si>
    <t>SA-67834856</t>
  </si>
  <si>
    <t>P0052</t>
  </si>
  <si>
    <t>SA-05917226</t>
  </si>
  <si>
    <t>P0053</t>
  </si>
  <si>
    <t>SA-99486329</t>
  </si>
  <si>
    <t>P0054</t>
  </si>
  <si>
    <t>SA-10099060</t>
  </si>
  <si>
    <t>P0055</t>
  </si>
  <si>
    <t>SA-57684997</t>
  </si>
  <si>
    <t>P0056</t>
  </si>
  <si>
    <t>SA-28195996</t>
  </si>
  <si>
    <t>P0057</t>
  </si>
  <si>
    <t>SA-31774347</t>
  </si>
  <si>
    <t>P0058</t>
  </si>
  <si>
    <t>SA-55259206</t>
  </si>
  <si>
    <t>P0059</t>
  </si>
  <si>
    <t>SA-05197529</t>
  </si>
  <si>
    <t>P0060</t>
  </si>
  <si>
    <t>SA-30547350</t>
  </si>
  <si>
    <t>P0061</t>
  </si>
  <si>
    <t>Alex</t>
  </si>
  <si>
    <t>SA-09317496</t>
  </si>
  <si>
    <t>P0062</t>
  </si>
  <si>
    <t>Avery</t>
  </si>
  <si>
    <t>SA-15480908</t>
  </si>
  <si>
    <t>P0063</t>
  </si>
  <si>
    <t>SA-80070439</t>
  </si>
  <si>
    <t>P0064</t>
  </si>
  <si>
    <t>SA-77388338</t>
  </si>
  <si>
    <t>P0065</t>
  </si>
  <si>
    <t>SA-48884979</t>
  </si>
  <si>
    <t>P0066</t>
  </si>
  <si>
    <t>SA-96603782</t>
  </si>
  <si>
    <t>P0067</t>
  </si>
  <si>
    <t>SA-54009266</t>
  </si>
  <si>
    <t>P0068</t>
  </si>
  <si>
    <t>SA-89245318</t>
  </si>
  <si>
    <t>P0069</t>
  </si>
  <si>
    <t>SA-73542888</t>
  </si>
  <si>
    <t>P0070</t>
  </si>
  <si>
    <t>SA-62409659</t>
  </si>
  <si>
    <t>P0071</t>
  </si>
  <si>
    <t>SA-88429451</t>
  </si>
  <si>
    <t>P0072</t>
  </si>
  <si>
    <t>SA-31523530</t>
  </si>
  <si>
    <t>P0073</t>
  </si>
  <si>
    <t>SA-06202701</t>
  </si>
  <si>
    <t>P0074</t>
  </si>
  <si>
    <t>SA-84525679</t>
  </si>
  <si>
    <t>P0075</t>
  </si>
  <si>
    <t>SA-19806691</t>
  </si>
  <si>
    <t>P0076</t>
  </si>
  <si>
    <t>SA-93403698</t>
  </si>
  <si>
    <t>P0077</t>
  </si>
  <si>
    <t>SA-61265270</t>
  </si>
  <si>
    <t>P0078</t>
  </si>
  <si>
    <t>SA-82228803</t>
  </si>
  <si>
    <t>P0079</t>
  </si>
  <si>
    <t>SA-60407341</t>
  </si>
  <si>
    <t>P0080</t>
  </si>
  <si>
    <t>SA-36855846</t>
  </si>
  <si>
    <t>P0081</t>
  </si>
  <si>
    <t>SA-42910692</t>
  </si>
  <si>
    <t>P0082</t>
  </si>
  <si>
    <t>SA-93140368</t>
  </si>
  <si>
    <t>P0083</t>
  </si>
  <si>
    <t>SA-72828035</t>
  </si>
  <si>
    <t>P0084</t>
  </si>
  <si>
    <t>SA-78393812</t>
  </si>
  <si>
    <t>P0085</t>
  </si>
  <si>
    <t>SA-47212268</t>
  </si>
  <si>
    <t>P0086</t>
  </si>
  <si>
    <t>SA-29450274</t>
  </si>
  <si>
    <t>P0087</t>
  </si>
  <si>
    <t>SA-89774698</t>
  </si>
  <si>
    <t>P0088</t>
  </si>
  <si>
    <t>SA-52884504</t>
  </si>
  <si>
    <t>P0089</t>
  </si>
  <si>
    <t>SA-61968117</t>
  </si>
  <si>
    <t>P0090</t>
  </si>
  <si>
    <t>SA-61028711</t>
  </si>
  <si>
    <t>P0091</t>
  </si>
  <si>
    <t>SA-10993269</t>
  </si>
  <si>
    <t>P0092</t>
  </si>
  <si>
    <t>SA-87260864</t>
  </si>
  <si>
    <t>P0093</t>
  </si>
  <si>
    <t>SA-83394261</t>
  </si>
  <si>
    <t>P0094</t>
  </si>
  <si>
    <t>SA-62415805</t>
  </si>
  <si>
    <t>P0095</t>
  </si>
  <si>
    <t>SA-41746938</t>
  </si>
  <si>
    <t>P0096</t>
  </si>
  <si>
    <t>SA-95967650</t>
  </si>
  <si>
    <t>P0097</t>
  </si>
  <si>
    <t>SA-93575661</t>
  </si>
  <si>
    <t>P0098</t>
  </si>
  <si>
    <t>SA-71503857</t>
  </si>
  <si>
    <t>P0099</t>
  </si>
  <si>
    <t>SA-56379330</t>
  </si>
  <si>
    <t>P0100</t>
  </si>
  <si>
    <t>SA-58450096</t>
  </si>
  <si>
    <t>Row Labels</t>
  </si>
  <si>
    <t>Grand Total</t>
  </si>
  <si>
    <t>(All)</t>
  </si>
  <si>
    <t>Total Delivered</t>
  </si>
  <si>
    <t>Total Cost</t>
  </si>
  <si>
    <t>Total Revenue</t>
  </si>
  <si>
    <t>Profit Margin</t>
  </si>
  <si>
    <t>Status</t>
  </si>
  <si>
    <t>On Track</t>
  </si>
  <si>
    <t>Overspent</t>
  </si>
  <si>
    <t>Participants</t>
  </si>
  <si>
    <t>SLA Status</t>
  </si>
  <si>
    <t>Budget</t>
  </si>
  <si>
    <t>Active</t>
  </si>
  <si>
    <t>Expiring</t>
  </si>
  <si>
    <t>Healthy</t>
  </si>
  <si>
    <t>Utilisation %</t>
  </si>
  <si>
    <t>SLAs at risk of expiry by region, enabling proactive follow-ups and prioritisation</t>
  </si>
  <si>
    <t>FILTER formula lists the affected participants so teams can take action immediately</t>
  </si>
  <si>
    <t>XLOOKUP to enrich the result with the Service Agreement ID</t>
  </si>
  <si>
    <t>This pivot table summarises the total value of services delivered across regions.</t>
  </si>
  <si>
    <t>It helps compare operational scale and funding utilisation by location.</t>
  </si>
  <si>
    <t>This can be analysed alongside utilisation and margin to understand whether higher delivery also translates into efficiency or profitability.</t>
  </si>
  <si>
    <t>This table can also be filtered by support category to analyse delivery by service type.</t>
  </si>
  <si>
    <t>This pivot shows funding utilisation percentage by region, helping identify how effectively allocated budgets are being used</t>
  </si>
  <si>
    <t>While the previous table shows total delivery volume, this one focuses on utilisation efficiency, giving both scale and performance perspectives.</t>
  </si>
  <si>
    <t>This pivot compares revenue, cost and profit margin across support categories, helping assess the financial performance of each service type.</t>
  </si>
  <si>
    <t>Even with similar revenue levels, differences in cost structure result in different margins</t>
  </si>
  <si>
    <t>I first look at delivery volume by region, then utilisation efficiency, and finally profitability by support category to understand both operational and financial performance.</t>
  </si>
  <si>
    <t>This pivot shows budget status by region, highlighting how many participants are on track versus overspent. No participants are underspending</t>
  </si>
  <si>
    <t>This helps identify regions where closer budget monitoring or earlier intervention may be needed.</t>
  </si>
  <si>
    <t>This chart shows delivery volume by region, helping compare operational scale.</t>
  </si>
  <si>
    <t>Here I’m comparing utilisation efficiency across regions</t>
  </si>
  <si>
    <t>This visual compares financial performance across support categories, highlighting margin differences.</t>
  </si>
  <si>
    <t>This helps identify regions where budget risk requires closer monitoring</t>
  </si>
  <si>
    <t>This chart highlights SLA expiry risk by region, supporting proactive follow-ups.</t>
  </si>
  <si>
    <t>FullName</t>
  </si>
  <si>
    <t>wo</t>
  </si>
  <si>
    <t>NDIS Operational &amp; Financial Insights Dashboard</t>
  </si>
  <si>
    <t>SupportCategory_Short</t>
  </si>
  <si>
    <t>Support Coordination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</si>
</sst>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Red]\-&quot;$&quot;#,##0.00"/>
    <numFmt numFmtId="44" formatCode="_-&quot;$&quot;* #,##0.00_-;\-&quot;$&quot;* #,##0.00_-;_-&quot;$&quot;* &quot;-&quot;??_-;_-@_-"/>
    <numFmt numFmtId="164" formatCode="0.0%"/>
    <numFmt numFmtId="165" formatCode="&quot;$&quot;#,##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38"/>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15">
    <xf numFmtId="0" fontId="0" fillId="0" borderId="0" xfId="0"/>
    <xf numFmtId="14" fontId="0" fillId="0" borderId="0" xfId="0" applyNumberFormat="1"/>
    <xf numFmtId="8" fontId="0" fillId="0" borderId="0" xfId="0" applyNumberFormat="1"/>
    <xf numFmtId="0" fontId="0" fillId="0" borderId="0" xfId="0" pivotButton="1"/>
    <xf numFmtId="0" fontId="0" fillId="0" borderId="0" xfId="0" applyAlignment="1">
      <alignment horizontal="left"/>
    </xf>
    <xf numFmtId="44" fontId="0" fillId="0" borderId="0" xfId="43" applyFont="1"/>
    <xf numFmtId="164" fontId="0" fillId="0" borderId="0" xfId="42" applyNumberFormat="1" applyFont="1"/>
    <xf numFmtId="1" fontId="0" fillId="0" borderId="0" xfId="0" applyNumberFormat="1"/>
    <xf numFmtId="165" fontId="0" fillId="0" borderId="0" xfId="43" applyNumberFormat="1" applyFont="1"/>
    <xf numFmtId="49" fontId="0" fillId="0" borderId="0" xfId="0" applyNumberFormat="1"/>
    <xf numFmtId="165" fontId="0" fillId="0" borderId="0" xfId="0" applyNumberFormat="1"/>
    <xf numFmtId="164" fontId="0" fillId="0" borderId="0" xfId="0" applyNumberFormat="1" applyAlignment="1">
      <alignment horizontal="center"/>
    </xf>
    <xf numFmtId="0" fontId="0" fillId="0" borderId="0" xfId="0" applyNumberFormat="1"/>
    <xf numFmtId="0" fontId="0" fillId="0" borderId="0" xfId="0" applyNumberFormat="1" applyAlignment="1">
      <alignment horizontal="center"/>
    </xf>
    <xf numFmtId="0" fontId="18" fillId="33" borderId="0" xfId="0" applyFont="1" applyFill="1" applyAlignment="1">
      <alignment horizontal="center" vertic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79">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dxf>
    <dxf>
      <alignment horizontal="center"/>
    </dxf>
    <dxf>
      <alignment horizontal="center"/>
    </dxf>
    <dxf>
      <alignment horizontal="center"/>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[ndis_dashboard_dataset_100_FINANCE_v3.xlsx]Pivot Tables!PivotTable5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Delivered</a:t>
            </a:r>
            <a:r>
              <a:rPr lang="en-US" baseline="0"/>
              <a:t> per Region</a:t>
            </a:r>
            <a:endParaRPr lang="en-US"/>
          </a:p>
        </c:rich>
      </c:tx>
      <c:layout>
        <c:manualLayout>
          <c:xMode val="edge"/>
          <c:yMode val="edge"/>
          <c:x val="0.29218044619422573"/>
          <c:y val="0.1414771070282881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Tables'!$A$4:$A$8</c:f>
              <c:strCache>
                <c:ptCount val="4"/>
                <c:pt idx="0">
                  <c:v>Port Macquarie</c:v>
                </c:pt>
                <c:pt idx="1">
                  <c:v>Newcastle</c:v>
                </c:pt>
                <c:pt idx="2">
                  <c:v>Sydney</c:v>
                </c:pt>
                <c:pt idx="3">
                  <c:v>Tweed Heads</c:v>
                </c:pt>
              </c:strCache>
            </c:strRef>
          </c:cat>
          <c:val>
            <c:numRef>
              <c:f>'Pivot Tables'!$B$4:$B$8</c:f>
              <c:numCache>
                <c:formatCode>"$"#,##0.00_);[Red]\("$"#,##0.00\)</c:formatCode>
                <c:ptCount val="4"/>
                <c:pt idx="0">
                  <c:v>2861896.0500000003</c:v>
                </c:pt>
                <c:pt idx="1">
                  <c:v>2465550.09</c:v>
                </c:pt>
                <c:pt idx="2">
                  <c:v>2069171.0400000003</c:v>
                </c:pt>
                <c:pt idx="3">
                  <c:v>1916394.5999999999</c:v>
                </c:pt>
              </c:numCache>
            </c:numRef>
          </c:val>
          <c:extLst>
            <c:ext xmlns:c16="http://schemas.microsoft.com/office/drawing/2014/chart" uri="{C3380CC4-5D6E-409C-BE32-E72D297353CC}">
              <c16:uniqueId val="{00000000-6F97-4DA9-A3C9-8ABDE630FB34}"/>
            </c:ext>
          </c:extLst>
        </c:ser>
        <c:dLbls>
          <c:dLblPos val="outEnd"/>
          <c:showLegendKey val="0"/>
          <c:showVal val="1"/>
          <c:showCatName val="0"/>
          <c:showSerName val="0"/>
          <c:showPercent val="0"/>
          <c:showBubbleSize val="0"/>
        </c:dLbls>
        <c:gapWidth val="219"/>
        <c:overlap val="-27"/>
        <c:axId val="1191660960"/>
        <c:axId val="1191672960"/>
      </c:barChart>
      <c:catAx>
        <c:axId val="1191660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672960"/>
        <c:crosses val="autoZero"/>
        <c:auto val="1"/>
        <c:lblAlgn val="ctr"/>
        <c:lblOffset val="100"/>
        <c:noMultiLvlLbl val="0"/>
      </c:catAx>
      <c:valAx>
        <c:axId val="1191672960"/>
        <c:scaling>
          <c:orientation val="minMax"/>
        </c:scaling>
        <c:delete val="0"/>
        <c:axPos val="l"/>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660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[ndis_dashboard_dataset_100_FINANCE_v3.xlsx]Pivot Tables!PivotTable6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Total Utilisation per Region</a:t>
            </a:r>
          </a:p>
        </c:rich>
      </c:tx>
      <c:layout>
        <c:manualLayout>
          <c:xMode val="edge"/>
          <c:yMode val="edge"/>
          <c:x val="0.33819444444444446"/>
          <c:y val="0.1275882181393992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Tables'!$A$13:$A$17</c:f>
              <c:strCache>
                <c:ptCount val="4"/>
                <c:pt idx="0">
                  <c:v>Port Macquarie</c:v>
                </c:pt>
                <c:pt idx="1">
                  <c:v>Tweed Heads</c:v>
                </c:pt>
                <c:pt idx="2">
                  <c:v>Newcastle</c:v>
                </c:pt>
                <c:pt idx="3">
                  <c:v>Sydney</c:v>
                </c:pt>
              </c:strCache>
            </c:strRef>
          </c:cat>
          <c:val>
            <c:numRef>
              <c:f>'Pivot Tables'!$B$13:$B$17</c:f>
              <c:numCache>
                <c:formatCode>0.0%</c:formatCode>
                <c:ptCount val="4"/>
                <c:pt idx="0">
                  <c:v>0.96745833333333353</c:v>
                </c:pt>
                <c:pt idx="1">
                  <c:v>0.96443076923076931</c:v>
                </c:pt>
                <c:pt idx="2">
                  <c:v>0.94035384615384621</c:v>
                </c:pt>
                <c:pt idx="3">
                  <c:v>0.93914000000000009</c:v>
                </c:pt>
              </c:numCache>
            </c:numRef>
          </c:val>
          <c:extLst>
            <c:ext xmlns:c16="http://schemas.microsoft.com/office/drawing/2014/chart" uri="{C3380CC4-5D6E-409C-BE32-E72D297353CC}">
              <c16:uniqueId val="{00000000-4E31-48D9-89E7-2325C4FE618F}"/>
            </c:ext>
          </c:extLst>
        </c:ser>
        <c:dLbls>
          <c:showLegendKey val="0"/>
          <c:showVal val="0"/>
          <c:showCatName val="0"/>
          <c:showSerName val="0"/>
          <c:showPercent val="0"/>
          <c:showBubbleSize val="0"/>
        </c:dLbls>
        <c:gapWidth val="182"/>
        <c:axId val="1191660000"/>
        <c:axId val="1191677760"/>
      </c:barChart>
      <c:catAx>
        <c:axId val="1191660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677760"/>
        <c:crosses val="autoZero"/>
        <c:auto val="1"/>
        <c:lblAlgn val="ctr"/>
        <c:lblOffset val="100"/>
        <c:noMultiLvlLbl val="0"/>
      </c:catAx>
      <c:valAx>
        <c:axId val="1191677760"/>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660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[ndis_dashboard_dataset_100_FINANCE_v3.xlsx]Pivot Tables!PivotTable7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Revenue x Cost x Margin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s>
    <c:plotArea>
      <c:layout/>
      <c:barChart>
        <c:barDir val="col"/>
        <c:grouping val="clustered"/>
        <c:varyColors val="0"/>
        <c:ser>
          <c:idx val="0"/>
          <c:order val="0"/>
          <c:tx>
            <c:strRef>
              <c:f>'Pivot Tables'!$B$21</c:f>
              <c:strCache>
                <c:ptCount val="1"/>
                <c:pt idx="0">
                  <c:v>Total Revenue</c:v>
                </c:pt>
              </c:strCache>
            </c:strRef>
          </c:tx>
          <c:spPr>
            <a:solidFill>
              <a:schemeClr val="accent1"/>
            </a:solidFill>
            <a:ln>
              <a:noFill/>
            </a:ln>
            <a:effectLst/>
          </c:spPr>
          <c:invertIfNegative val="0"/>
          <c:cat>
            <c:strRef>
              <c:f>'Pivot Tables'!$A$22:$A$23</c:f>
              <c:strCache>
                <c:ptCount val="1"/>
                <c:pt idx="0">
                  <c:v>Support Coordination</c:v>
                </c:pt>
              </c:strCache>
            </c:strRef>
          </c:cat>
          <c:val>
            <c:numRef>
              <c:f>'Pivot Tables'!$B$22:$B$23</c:f>
              <c:numCache>
                <c:formatCode>"$"#,##0.00</c:formatCode>
                <c:ptCount val="1"/>
                <c:pt idx="0">
                  <c:v>9313011.7799999975</c:v>
                </c:pt>
              </c:numCache>
            </c:numRef>
          </c:val>
          <c:extLst>
            <c:ext xmlns:c16="http://schemas.microsoft.com/office/drawing/2014/chart" uri="{C3380CC4-5D6E-409C-BE32-E72D297353CC}">
              <c16:uniqueId val="{00000000-46D3-42FE-9C38-BA12B97F2D8E}"/>
            </c:ext>
          </c:extLst>
        </c:ser>
        <c:ser>
          <c:idx val="1"/>
          <c:order val="1"/>
          <c:tx>
            <c:strRef>
              <c:f>'Pivot Tables'!$C$21</c:f>
              <c:strCache>
                <c:ptCount val="1"/>
                <c:pt idx="0">
                  <c:v>Total Cost</c:v>
                </c:pt>
              </c:strCache>
            </c:strRef>
          </c:tx>
          <c:spPr>
            <a:solidFill>
              <a:schemeClr val="accent2"/>
            </a:solidFill>
            <a:ln>
              <a:noFill/>
            </a:ln>
            <a:effectLst/>
          </c:spPr>
          <c:invertIfNegative val="0"/>
          <c:cat>
            <c:strRef>
              <c:f>'Pivot Tables'!$A$22:$A$23</c:f>
              <c:strCache>
                <c:ptCount val="1"/>
                <c:pt idx="0">
                  <c:v>Support Coordination</c:v>
                </c:pt>
              </c:strCache>
            </c:strRef>
          </c:cat>
          <c:val>
            <c:numRef>
              <c:f>'Pivot Tables'!$C$22:$C$23</c:f>
              <c:numCache>
                <c:formatCode>"$"#,##0.00</c:formatCode>
                <c:ptCount val="1"/>
                <c:pt idx="0">
                  <c:v>5902704.8200000003</c:v>
                </c:pt>
              </c:numCache>
            </c:numRef>
          </c:val>
          <c:extLst>
            <c:ext xmlns:c16="http://schemas.microsoft.com/office/drawing/2014/chart" uri="{C3380CC4-5D6E-409C-BE32-E72D297353CC}">
              <c16:uniqueId val="{00000001-46D3-42FE-9C38-BA12B97F2D8E}"/>
            </c:ext>
          </c:extLst>
        </c:ser>
        <c:ser>
          <c:idx val="2"/>
          <c:order val="2"/>
          <c:tx>
            <c:strRef>
              <c:f>'Pivot Tables'!$D$21</c:f>
              <c:strCache>
                <c:ptCount val="1"/>
                <c:pt idx="0">
                  <c:v>Profit Margin</c:v>
                </c:pt>
              </c:strCache>
            </c:strRef>
          </c:tx>
          <c:spPr>
            <a:solidFill>
              <a:schemeClr val="accent3"/>
            </a:solidFill>
            <a:ln>
              <a:noFill/>
            </a:ln>
            <a:effectLst/>
          </c:spPr>
          <c:invertIfNegative val="0"/>
          <c:cat>
            <c:strRef>
              <c:f>'Pivot Tables'!$A$22:$A$23</c:f>
              <c:strCache>
                <c:ptCount val="1"/>
                <c:pt idx="0">
                  <c:v>Support Coordination</c:v>
                </c:pt>
              </c:strCache>
            </c:strRef>
          </c:cat>
          <c:val>
            <c:numRef>
              <c:f>'Pivot Tables'!$D$22:$D$23</c:f>
              <c:numCache>
                <c:formatCode>"$"#,##0.00</c:formatCode>
                <c:ptCount val="1"/>
                <c:pt idx="0">
                  <c:v>3410306.9799999995</c:v>
                </c:pt>
              </c:numCache>
            </c:numRef>
          </c:val>
          <c:extLst>
            <c:ext xmlns:c16="http://schemas.microsoft.com/office/drawing/2014/chart" uri="{C3380CC4-5D6E-409C-BE32-E72D297353CC}">
              <c16:uniqueId val="{00000002-46D3-42FE-9C38-BA12B97F2D8E}"/>
            </c:ext>
          </c:extLst>
        </c:ser>
        <c:dLbls>
          <c:showLegendKey val="0"/>
          <c:showVal val="0"/>
          <c:showCatName val="0"/>
          <c:showSerName val="0"/>
          <c:showPercent val="0"/>
          <c:showBubbleSize val="0"/>
        </c:dLbls>
        <c:gapWidth val="219"/>
        <c:overlap val="-27"/>
        <c:axId val="1191684960"/>
        <c:axId val="1191681600"/>
      </c:barChart>
      <c:catAx>
        <c:axId val="119168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681600"/>
        <c:crosses val="autoZero"/>
        <c:auto val="1"/>
        <c:lblAlgn val="ctr"/>
        <c:lblOffset val="100"/>
        <c:noMultiLvlLbl val="0"/>
      </c:catAx>
      <c:valAx>
        <c:axId val="11916816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684960"/>
        <c:crosses val="autoZero"/>
        <c:crossBetween val="between"/>
      </c:valAx>
      <c:spPr>
        <a:noFill/>
        <a:ln>
          <a:noFill/>
        </a:ln>
        <a:effectLst/>
      </c:spPr>
    </c:plotArea>
    <c:legend>
      <c:legendPos val="r"/>
      <c:layout>
        <c:manualLayout>
          <c:xMode val="edge"/>
          <c:yMode val="edge"/>
          <c:x val="0.79511986001749779"/>
          <c:y val="9.4038349372995045E-2"/>
          <c:w val="0.18821347331583552"/>
          <c:h val="0.301642971711869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[ndis_dashboard_dataset_100_FINANCE_v3.xlsx]Pivot Tables!PivotTable11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Budget Status per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Tables'!$B$28:$B$29</c:f>
              <c:strCache>
                <c:ptCount val="1"/>
                <c:pt idx="0">
                  <c:v>Overspent</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Tables'!$A$30:$A$34</c:f>
              <c:strCache>
                <c:ptCount val="4"/>
                <c:pt idx="0">
                  <c:v>Newcastle</c:v>
                </c:pt>
                <c:pt idx="1">
                  <c:v>Port Macquarie</c:v>
                </c:pt>
                <c:pt idx="2">
                  <c:v>Sydney</c:v>
                </c:pt>
                <c:pt idx="3">
                  <c:v>Tweed Heads</c:v>
                </c:pt>
              </c:strCache>
            </c:strRef>
          </c:cat>
          <c:val>
            <c:numRef>
              <c:f>'Pivot Tables'!$B$30:$B$34</c:f>
              <c:numCache>
                <c:formatCode>General</c:formatCode>
                <c:ptCount val="4"/>
                <c:pt idx="0">
                  <c:v>4</c:v>
                </c:pt>
                <c:pt idx="1">
                  <c:v>5</c:v>
                </c:pt>
                <c:pt idx="2">
                  <c:v>3</c:v>
                </c:pt>
                <c:pt idx="3">
                  <c:v>5</c:v>
                </c:pt>
              </c:numCache>
            </c:numRef>
          </c:val>
          <c:extLst>
            <c:ext xmlns:c16="http://schemas.microsoft.com/office/drawing/2014/chart" uri="{C3380CC4-5D6E-409C-BE32-E72D297353CC}">
              <c16:uniqueId val="{00000000-922B-4BF3-9412-A04E7FC3E53E}"/>
            </c:ext>
          </c:extLst>
        </c:ser>
        <c:ser>
          <c:idx val="1"/>
          <c:order val="1"/>
          <c:tx>
            <c:strRef>
              <c:f>'Pivot Tables'!$C$28:$C$29</c:f>
              <c:strCache>
                <c:ptCount val="1"/>
                <c:pt idx="0">
                  <c:v>On Track</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Tables'!$A$30:$A$34</c:f>
              <c:strCache>
                <c:ptCount val="4"/>
                <c:pt idx="0">
                  <c:v>Newcastle</c:v>
                </c:pt>
                <c:pt idx="1">
                  <c:v>Port Macquarie</c:v>
                </c:pt>
                <c:pt idx="2">
                  <c:v>Sydney</c:v>
                </c:pt>
                <c:pt idx="3">
                  <c:v>Tweed Heads</c:v>
                </c:pt>
              </c:strCache>
            </c:strRef>
          </c:cat>
          <c:val>
            <c:numRef>
              <c:f>'Pivot Tables'!$C$30:$C$34</c:f>
              <c:numCache>
                <c:formatCode>General</c:formatCode>
                <c:ptCount val="4"/>
                <c:pt idx="0">
                  <c:v>9</c:v>
                </c:pt>
                <c:pt idx="1">
                  <c:v>7</c:v>
                </c:pt>
                <c:pt idx="2">
                  <c:v>7</c:v>
                </c:pt>
                <c:pt idx="3">
                  <c:v>8</c:v>
                </c:pt>
              </c:numCache>
            </c:numRef>
          </c:val>
          <c:extLst>
            <c:ext xmlns:c16="http://schemas.microsoft.com/office/drawing/2014/chart" uri="{C3380CC4-5D6E-409C-BE32-E72D297353CC}">
              <c16:uniqueId val="{00000001-922B-4BF3-9412-A04E7FC3E53E}"/>
            </c:ext>
          </c:extLst>
        </c:ser>
        <c:dLbls>
          <c:dLblPos val="outEnd"/>
          <c:showLegendKey val="0"/>
          <c:showVal val="1"/>
          <c:showCatName val="0"/>
          <c:showSerName val="0"/>
          <c:showPercent val="0"/>
          <c:showBubbleSize val="0"/>
        </c:dLbls>
        <c:gapWidth val="150"/>
        <c:axId val="1068790144"/>
        <c:axId val="1068793504"/>
      </c:barChart>
      <c:catAx>
        <c:axId val="1068790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793504"/>
        <c:crosses val="autoZero"/>
        <c:auto val="1"/>
        <c:lblAlgn val="ctr"/>
        <c:lblOffset val="100"/>
        <c:noMultiLvlLbl val="0"/>
      </c:catAx>
      <c:valAx>
        <c:axId val="1068793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79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[ndis_dashboard_dataset_100_FINANCE_v3.xlsx]Pivot Tables!PivotTable12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SLA Status per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Tables'!$B$38:$B$39</c:f>
              <c:strCache>
                <c:ptCount val="1"/>
                <c:pt idx="0">
                  <c:v>Expiring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Tables'!$A$40:$A$44</c:f>
              <c:strCache>
                <c:ptCount val="4"/>
                <c:pt idx="0">
                  <c:v>Newcastle</c:v>
                </c:pt>
                <c:pt idx="1">
                  <c:v>Port Macquarie</c:v>
                </c:pt>
                <c:pt idx="2">
                  <c:v>Sydney</c:v>
                </c:pt>
                <c:pt idx="3">
                  <c:v>Tweed Heads</c:v>
                </c:pt>
              </c:strCache>
            </c:strRef>
          </c:cat>
          <c:val>
            <c:numRef>
              <c:f>'Pivot Tables'!$B$40:$B$44</c:f>
              <c:numCache>
                <c:formatCode>General</c:formatCode>
                <c:ptCount val="4"/>
                <c:pt idx="1">
                  <c:v>1</c:v>
                </c:pt>
                <c:pt idx="2">
                  <c:v>1</c:v>
                </c:pt>
                <c:pt idx="3">
                  <c:v>1</c:v>
                </c:pt>
              </c:numCache>
            </c:numRef>
          </c:val>
          <c:extLst>
            <c:ext xmlns:c16="http://schemas.microsoft.com/office/drawing/2014/chart" uri="{C3380CC4-5D6E-409C-BE32-E72D297353CC}">
              <c16:uniqueId val="{00000000-CC38-46F8-B66C-BEAC87FB515D}"/>
            </c:ext>
          </c:extLst>
        </c:ser>
        <c:ser>
          <c:idx val="1"/>
          <c:order val="1"/>
          <c:tx>
            <c:strRef>
              <c:f>'Pivot Tables'!$C$38:$C$39</c:f>
              <c:strCache>
                <c:ptCount val="1"/>
                <c:pt idx="0">
                  <c:v>Active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Tables'!$A$40:$A$44</c:f>
              <c:strCache>
                <c:ptCount val="4"/>
                <c:pt idx="0">
                  <c:v>Newcastle</c:v>
                </c:pt>
                <c:pt idx="1">
                  <c:v>Port Macquarie</c:v>
                </c:pt>
                <c:pt idx="2">
                  <c:v>Sydney</c:v>
                </c:pt>
                <c:pt idx="3">
                  <c:v>Tweed Heads</c:v>
                </c:pt>
              </c:strCache>
            </c:strRef>
          </c:cat>
          <c:val>
            <c:numRef>
              <c:f>'Pivot Tables'!$C$40:$C$44</c:f>
              <c:numCache>
                <c:formatCode>General</c:formatCode>
                <c:ptCount val="4"/>
                <c:pt idx="0">
                  <c:v>1</c:v>
                </c:pt>
              </c:numCache>
            </c:numRef>
          </c:val>
          <c:extLst>
            <c:ext xmlns:c16="http://schemas.microsoft.com/office/drawing/2014/chart" uri="{C3380CC4-5D6E-409C-BE32-E72D297353CC}">
              <c16:uniqueId val="{0000000D-4F11-4751-AD89-074414FA7C2C}"/>
            </c:ext>
          </c:extLst>
        </c:ser>
        <c:ser>
          <c:idx val="2"/>
          <c:order val="2"/>
          <c:tx>
            <c:strRef>
              <c:f>'Pivot Tables'!$D$38:$D$39</c:f>
              <c:strCache>
                <c:ptCount val="1"/>
                <c:pt idx="0">
                  <c:v>Healthy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Tables'!$A$40:$A$44</c:f>
              <c:strCache>
                <c:ptCount val="4"/>
                <c:pt idx="0">
                  <c:v>Newcastle</c:v>
                </c:pt>
                <c:pt idx="1">
                  <c:v>Port Macquarie</c:v>
                </c:pt>
                <c:pt idx="2">
                  <c:v>Sydney</c:v>
                </c:pt>
                <c:pt idx="3">
                  <c:v>Tweed Heads</c:v>
                </c:pt>
              </c:strCache>
            </c:strRef>
          </c:cat>
          <c:val>
            <c:numRef>
              <c:f>'Pivot Tables'!$D$40:$D$44</c:f>
              <c:numCache>
                <c:formatCode>General</c:formatCode>
                <c:ptCount val="4"/>
                <c:pt idx="0">
                  <c:v>12</c:v>
                </c:pt>
                <c:pt idx="1">
                  <c:v>11</c:v>
                </c:pt>
                <c:pt idx="2">
                  <c:v>9</c:v>
                </c:pt>
                <c:pt idx="3">
                  <c:v>12</c:v>
                </c:pt>
              </c:numCache>
            </c:numRef>
          </c:val>
          <c:extLst>
            <c:ext xmlns:c16="http://schemas.microsoft.com/office/drawing/2014/chart" uri="{C3380CC4-5D6E-409C-BE32-E72D297353CC}">
              <c16:uniqueId val="{0000000E-4F11-4751-AD89-074414FA7C2C}"/>
            </c:ext>
          </c:extLst>
        </c:ser>
        <c:dLbls>
          <c:dLblPos val="outEnd"/>
          <c:showLegendKey val="0"/>
          <c:showVal val="1"/>
          <c:showCatName val="0"/>
          <c:showSerName val="0"/>
          <c:showPercent val="0"/>
          <c:showBubbleSize val="0"/>
        </c:dLbls>
        <c:gapWidth val="182"/>
        <c:axId val="1068832864"/>
        <c:axId val="1068833824"/>
      </c:barChart>
      <c:catAx>
        <c:axId val="106883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833824"/>
        <c:crosses val="autoZero"/>
        <c:auto val="1"/>
        <c:lblAlgn val="ctr"/>
        <c:lblOffset val="100"/>
        <c:noMultiLvlLbl val="0"/>
      </c:catAx>
      <c:valAx>
        <c:axId val="1068833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832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[ndis_dashboard_dataset_100_FINANCE_v3.xlsx]Pivot Tables!PivotTable5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Delivered</a:t>
            </a:r>
            <a:r>
              <a:rPr lang="en-US" baseline="0"/>
              <a:t> per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9.1324222803298889E-3"/>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6.0882815202199262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dLbls>
            <c:dLbl>
              <c:idx val="0"/>
              <c:layout>
                <c:manualLayout>
                  <c:x val="9.1324222803298889E-3"/>
                  <c:y val="-4.2437781360066642E-17"/>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2"/>
              <c:layout>
                <c:manualLayout>
                  <c:x val="6.0882815202199262E-3"/>
                  <c:y val="0"/>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Tables'!$A$4:$A$8</c:f>
              <c:strCache>
                <c:ptCount val="4"/>
                <c:pt idx="0">
                  <c:v>Port Macquarie</c:v>
                </c:pt>
                <c:pt idx="1">
                  <c:v>Newcastle</c:v>
                </c:pt>
                <c:pt idx="2">
                  <c:v>Sydney</c:v>
                </c:pt>
                <c:pt idx="3">
                  <c:v>Tweed Heads</c:v>
                </c:pt>
              </c:strCache>
            </c:strRef>
          </c:cat>
          <c:val>
            <c:numRef>
              <c:f>'Pivot Tables'!$B$4:$B$8</c:f>
              <c:numCache>
                <c:formatCode>"$"#,##0.00_);[Red]\("$"#,##0.00\)</c:formatCode>
                <c:ptCount val="4"/>
                <c:pt idx="0">
                  <c:v>2861896.0500000003</c:v>
                </c:pt>
                <c:pt idx="1">
                  <c:v>2465550.09</c:v>
                </c:pt>
                <c:pt idx="2">
                  <c:v>2069171.0400000003</c:v>
                </c:pt>
                <c:pt idx="3">
                  <c:v>1916394.5999999999</c:v>
                </c:pt>
              </c:numCache>
            </c:numRef>
          </c:val>
          <c:extLst>
            <c:ext xmlns:c16="http://schemas.microsoft.com/office/drawing/2014/chart" uri="{C3380CC4-5D6E-409C-BE32-E72D297353CC}">
              <c16:uniqueId val="{00000000-D2CA-43CB-A7D9-9EFA1B6819C8}"/>
            </c:ext>
          </c:extLst>
        </c:ser>
        <c:dLbls>
          <c:dLblPos val="outEnd"/>
          <c:showLegendKey val="0"/>
          <c:showVal val="1"/>
          <c:showCatName val="0"/>
          <c:showSerName val="0"/>
          <c:showPercent val="0"/>
          <c:showBubbleSize val="0"/>
        </c:dLbls>
        <c:gapWidth val="219"/>
        <c:overlap val="-27"/>
        <c:axId val="1191660960"/>
        <c:axId val="1191672960"/>
      </c:barChart>
      <c:catAx>
        <c:axId val="11916609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672960"/>
        <c:crosses val="autoZero"/>
        <c:auto val="1"/>
        <c:lblAlgn val="ctr"/>
        <c:lblOffset val="100"/>
        <c:noMultiLvlLbl val="0"/>
      </c:catAx>
      <c:valAx>
        <c:axId val="1191672960"/>
        <c:scaling>
          <c:orientation val="minMax"/>
        </c:scaling>
        <c:delete val="1"/>
        <c:axPos val="l"/>
        <c:numFmt formatCode="&quot;$&quot;#,##0.00_);[Red]\(&quot;$&quot;#,##0.00\)" sourceLinked="1"/>
        <c:majorTickMark val="out"/>
        <c:minorTickMark val="none"/>
        <c:tickLblPos val="nextTo"/>
        <c:crossAx val="1191660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[ndis_dashboard_dataset_100_FINANCE_v3.xlsx]Pivot Tables!PivotTable6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Total Utilisation per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Tables'!$A$13:$A$17</c:f>
              <c:strCache>
                <c:ptCount val="4"/>
                <c:pt idx="0">
                  <c:v>Port Macquarie</c:v>
                </c:pt>
                <c:pt idx="1">
                  <c:v>Tweed Heads</c:v>
                </c:pt>
                <c:pt idx="2">
                  <c:v>Newcastle</c:v>
                </c:pt>
                <c:pt idx="3">
                  <c:v>Sydney</c:v>
                </c:pt>
              </c:strCache>
            </c:strRef>
          </c:cat>
          <c:val>
            <c:numRef>
              <c:f>'Pivot Tables'!$B$13:$B$17</c:f>
              <c:numCache>
                <c:formatCode>0.0%</c:formatCode>
                <c:ptCount val="4"/>
                <c:pt idx="0">
                  <c:v>0.96745833333333353</c:v>
                </c:pt>
                <c:pt idx="1">
                  <c:v>0.96443076923076931</c:v>
                </c:pt>
                <c:pt idx="2">
                  <c:v>0.94035384615384621</c:v>
                </c:pt>
                <c:pt idx="3">
                  <c:v>0.93914000000000009</c:v>
                </c:pt>
              </c:numCache>
            </c:numRef>
          </c:val>
          <c:extLst>
            <c:ext xmlns:c16="http://schemas.microsoft.com/office/drawing/2014/chart" uri="{C3380CC4-5D6E-409C-BE32-E72D297353CC}">
              <c16:uniqueId val="{00000000-608C-4D16-8BA5-95634A986BB6}"/>
            </c:ext>
          </c:extLst>
        </c:ser>
        <c:dLbls>
          <c:showLegendKey val="0"/>
          <c:showVal val="0"/>
          <c:showCatName val="0"/>
          <c:showSerName val="0"/>
          <c:showPercent val="0"/>
          <c:showBubbleSize val="0"/>
        </c:dLbls>
        <c:gapWidth val="182"/>
        <c:axId val="1191660000"/>
        <c:axId val="1191677760"/>
      </c:barChart>
      <c:catAx>
        <c:axId val="1191660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677760"/>
        <c:crosses val="autoZero"/>
        <c:auto val="1"/>
        <c:lblAlgn val="ctr"/>
        <c:lblOffset val="100"/>
        <c:noMultiLvlLbl val="0"/>
      </c:catAx>
      <c:valAx>
        <c:axId val="1191677760"/>
        <c:scaling>
          <c:orientation val="minMax"/>
        </c:scaling>
        <c:delete val="1"/>
        <c:axPos val="b"/>
        <c:numFmt formatCode="0.0%" sourceLinked="1"/>
        <c:majorTickMark val="none"/>
        <c:minorTickMark val="none"/>
        <c:tickLblPos val="nextTo"/>
        <c:crossAx val="1191660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[ndis_dashboard_dataset_100_FINANCE_v3.xlsx]Pivot Tables!PivotTable7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baseline="0"/>
              <a:t>Financial Performance by Support Category</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pivotFmt>
      <c:pivotFmt>
        <c:idx val="10"/>
        <c:spPr>
          <a:solidFill>
            <a:schemeClr val="accent3"/>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2.2408963585434174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dLbl>
          <c:idx val="0"/>
          <c:layout>
            <c:manualLayout>
              <c:x val="1.792717086834733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3"/>
          </a:solidFill>
          <a:ln>
            <a:noFill/>
          </a:ln>
          <a:effectLst/>
        </c:spPr>
        <c:dLbl>
          <c:idx val="0"/>
          <c:layout>
            <c:manualLayout>
              <c:x val="2.0168067226890758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2.689075630252092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Tables'!$B$21</c:f>
              <c:strCache>
                <c:ptCount val="1"/>
                <c:pt idx="0">
                  <c:v>Total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Tables'!$A$22:$A$23</c:f>
              <c:strCache>
                <c:ptCount val="1"/>
                <c:pt idx="0">
                  <c:v>Support Coordination</c:v>
                </c:pt>
              </c:strCache>
            </c:strRef>
          </c:cat>
          <c:val>
            <c:numRef>
              <c:f>'Pivot Tables'!$B$22:$B$23</c:f>
              <c:numCache>
                <c:formatCode>"$"#,##0.00</c:formatCode>
                <c:ptCount val="1"/>
                <c:pt idx="0">
                  <c:v>9313011.7799999975</c:v>
                </c:pt>
              </c:numCache>
            </c:numRef>
          </c:val>
          <c:extLst>
            <c:ext xmlns:c16="http://schemas.microsoft.com/office/drawing/2014/chart" uri="{C3380CC4-5D6E-409C-BE32-E72D297353CC}">
              <c16:uniqueId val="{00000000-60F1-4F25-84B3-C33CF4275576}"/>
            </c:ext>
          </c:extLst>
        </c:ser>
        <c:ser>
          <c:idx val="1"/>
          <c:order val="1"/>
          <c:tx>
            <c:strRef>
              <c:f>'Pivot Tables'!$C$21</c:f>
              <c:strCache>
                <c:ptCount val="1"/>
                <c:pt idx="0">
                  <c:v>Total Cost</c:v>
                </c:pt>
              </c:strCache>
            </c:strRef>
          </c:tx>
          <c:spPr>
            <a:solidFill>
              <a:schemeClr val="accent2"/>
            </a:solidFill>
            <a:ln>
              <a:noFill/>
            </a:ln>
            <a:effectLst/>
          </c:spPr>
          <c:invertIfNegative val="0"/>
          <c:dLbls>
            <c:dLbl>
              <c:idx val="0"/>
              <c:layout>
                <c:manualLayout>
                  <c:x val="1.792717086834733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0F1-4F25-84B3-C33CF427557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Tables'!$A$22:$A$23</c:f>
              <c:strCache>
                <c:ptCount val="1"/>
                <c:pt idx="0">
                  <c:v>Support Coordination</c:v>
                </c:pt>
              </c:strCache>
            </c:strRef>
          </c:cat>
          <c:val>
            <c:numRef>
              <c:f>'Pivot Tables'!$C$22:$C$23</c:f>
              <c:numCache>
                <c:formatCode>"$"#,##0.00</c:formatCode>
                <c:ptCount val="1"/>
                <c:pt idx="0">
                  <c:v>5902704.8200000003</c:v>
                </c:pt>
              </c:numCache>
            </c:numRef>
          </c:val>
          <c:extLst>
            <c:ext xmlns:c16="http://schemas.microsoft.com/office/drawing/2014/chart" uri="{C3380CC4-5D6E-409C-BE32-E72D297353CC}">
              <c16:uniqueId val="{00000001-60F1-4F25-84B3-C33CF4275576}"/>
            </c:ext>
          </c:extLst>
        </c:ser>
        <c:ser>
          <c:idx val="2"/>
          <c:order val="2"/>
          <c:tx>
            <c:strRef>
              <c:f>'Pivot Tables'!$D$21</c:f>
              <c:strCache>
                <c:ptCount val="1"/>
                <c:pt idx="0">
                  <c:v>Profit Margin</c:v>
                </c:pt>
              </c:strCache>
            </c:strRef>
          </c:tx>
          <c:spPr>
            <a:solidFill>
              <a:schemeClr val="accent3"/>
            </a:solidFill>
            <a:ln>
              <a:noFill/>
            </a:ln>
            <a:effectLst/>
          </c:spPr>
          <c:invertIfNegative val="0"/>
          <c:dLbls>
            <c:dLbl>
              <c:idx val="0"/>
              <c:layout>
                <c:manualLayout>
                  <c:x val="2.0168067226890758E-2"/>
                  <c:y val="-8.487556272013328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0F1-4F25-84B3-C33CF427557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Tables'!$A$22:$A$23</c:f>
              <c:strCache>
                <c:ptCount val="1"/>
                <c:pt idx="0">
                  <c:v>Support Coordination</c:v>
                </c:pt>
              </c:strCache>
            </c:strRef>
          </c:cat>
          <c:val>
            <c:numRef>
              <c:f>'Pivot Tables'!$D$22:$D$23</c:f>
              <c:numCache>
                <c:formatCode>"$"#,##0.00</c:formatCode>
                <c:ptCount val="1"/>
                <c:pt idx="0">
                  <c:v>3410306.9799999995</c:v>
                </c:pt>
              </c:numCache>
            </c:numRef>
          </c:val>
          <c:extLst>
            <c:ext xmlns:c16="http://schemas.microsoft.com/office/drawing/2014/chart" uri="{C3380CC4-5D6E-409C-BE32-E72D297353CC}">
              <c16:uniqueId val="{00000002-60F1-4F25-84B3-C33CF4275576}"/>
            </c:ext>
          </c:extLst>
        </c:ser>
        <c:dLbls>
          <c:dLblPos val="outEnd"/>
          <c:showLegendKey val="0"/>
          <c:showVal val="1"/>
          <c:showCatName val="0"/>
          <c:showSerName val="0"/>
          <c:showPercent val="0"/>
          <c:showBubbleSize val="0"/>
        </c:dLbls>
        <c:gapWidth val="219"/>
        <c:overlap val="-27"/>
        <c:axId val="1191684960"/>
        <c:axId val="1191681600"/>
      </c:barChart>
      <c:catAx>
        <c:axId val="119168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681600"/>
        <c:crosses val="autoZero"/>
        <c:auto val="1"/>
        <c:lblAlgn val="ctr"/>
        <c:lblOffset val="100"/>
        <c:noMultiLvlLbl val="0"/>
      </c:catAx>
      <c:valAx>
        <c:axId val="1191681600"/>
        <c:scaling>
          <c:orientation val="minMax"/>
        </c:scaling>
        <c:delete val="1"/>
        <c:axPos val="l"/>
        <c:numFmt formatCode="&quot;$&quot;#,##0.00" sourceLinked="1"/>
        <c:majorTickMark val="none"/>
        <c:minorTickMark val="none"/>
        <c:tickLblPos val="nextTo"/>
        <c:crossAx val="1191684960"/>
        <c:crosses val="autoZero"/>
        <c:crossBetween val="between"/>
      </c:valAx>
      <c:spPr>
        <a:noFill/>
        <a:ln>
          <a:noFill/>
        </a:ln>
        <a:effectLst/>
      </c:spPr>
    </c:plotArea>
    <c:legend>
      <c:legendPos val="r"/>
      <c:layout>
        <c:manualLayout>
          <c:xMode val="edge"/>
          <c:yMode val="edge"/>
          <c:x val="0.79511986001749779"/>
          <c:y val="9.4038349372995045E-2"/>
          <c:w val="0.18821347331583552"/>
          <c:h val="0.301642971711869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[ndis_dashboard_dataset_100_FINANCE_v3.xlsx]Pivot Tables!PivotTable11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Budget Status per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Tables'!$B$28:$B$29</c:f>
              <c:strCache>
                <c:ptCount val="1"/>
                <c:pt idx="0">
                  <c:v>Overspent</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Tables'!$A$30:$A$34</c:f>
              <c:strCache>
                <c:ptCount val="4"/>
                <c:pt idx="0">
                  <c:v>Newcastle</c:v>
                </c:pt>
                <c:pt idx="1">
                  <c:v>Port Macquarie</c:v>
                </c:pt>
                <c:pt idx="2">
                  <c:v>Sydney</c:v>
                </c:pt>
                <c:pt idx="3">
                  <c:v>Tweed Heads</c:v>
                </c:pt>
              </c:strCache>
            </c:strRef>
          </c:cat>
          <c:val>
            <c:numRef>
              <c:f>'Pivot Tables'!$B$30:$B$34</c:f>
              <c:numCache>
                <c:formatCode>General</c:formatCode>
                <c:ptCount val="4"/>
                <c:pt idx="0">
                  <c:v>4</c:v>
                </c:pt>
                <c:pt idx="1">
                  <c:v>5</c:v>
                </c:pt>
                <c:pt idx="2">
                  <c:v>3</c:v>
                </c:pt>
                <c:pt idx="3">
                  <c:v>5</c:v>
                </c:pt>
              </c:numCache>
            </c:numRef>
          </c:val>
          <c:extLst>
            <c:ext xmlns:c16="http://schemas.microsoft.com/office/drawing/2014/chart" uri="{C3380CC4-5D6E-409C-BE32-E72D297353CC}">
              <c16:uniqueId val="{00000000-AB67-4C28-B7CC-A4FAB1DFA91A}"/>
            </c:ext>
          </c:extLst>
        </c:ser>
        <c:ser>
          <c:idx val="1"/>
          <c:order val="1"/>
          <c:tx>
            <c:strRef>
              <c:f>'Pivot Tables'!$C$28:$C$29</c:f>
              <c:strCache>
                <c:ptCount val="1"/>
                <c:pt idx="0">
                  <c:v>On Track</c:v>
                </c:pt>
              </c:strCache>
            </c:strRef>
          </c:tx>
          <c:spPr>
            <a:solidFill>
              <a:schemeClr val="accent6">
                <a:lumMod val="75000"/>
              </a:schemeClr>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Tables'!$A$30:$A$34</c:f>
              <c:strCache>
                <c:ptCount val="4"/>
                <c:pt idx="0">
                  <c:v>Newcastle</c:v>
                </c:pt>
                <c:pt idx="1">
                  <c:v>Port Macquarie</c:v>
                </c:pt>
                <c:pt idx="2">
                  <c:v>Sydney</c:v>
                </c:pt>
                <c:pt idx="3">
                  <c:v>Tweed Heads</c:v>
                </c:pt>
              </c:strCache>
            </c:strRef>
          </c:cat>
          <c:val>
            <c:numRef>
              <c:f>'Pivot Tables'!$C$30:$C$34</c:f>
              <c:numCache>
                <c:formatCode>General</c:formatCode>
                <c:ptCount val="4"/>
                <c:pt idx="0">
                  <c:v>9</c:v>
                </c:pt>
                <c:pt idx="1">
                  <c:v>7</c:v>
                </c:pt>
                <c:pt idx="2">
                  <c:v>7</c:v>
                </c:pt>
                <c:pt idx="3">
                  <c:v>8</c:v>
                </c:pt>
              </c:numCache>
            </c:numRef>
          </c:val>
          <c:extLst>
            <c:ext xmlns:c16="http://schemas.microsoft.com/office/drawing/2014/chart" uri="{C3380CC4-5D6E-409C-BE32-E72D297353CC}">
              <c16:uniqueId val="{00000001-AB67-4C28-B7CC-A4FAB1DFA91A}"/>
            </c:ext>
          </c:extLst>
        </c:ser>
        <c:dLbls>
          <c:dLblPos val="outEnd"/>
          <c:showLegendKey val="0"/>
          <c:showVal val="1"/>
          <c:showCatName val="0"/>
          <c:showSerName val="0"/>
          <c:showPercent val="0"/>
          <c:showBubbleSize val="0"/>
        </c:dLbls>
        <c:gapWidth val="150"/>
        <c:axId val="1068790144"/>
        <c:axId val="1068793504"/>
      </c:barChart>
      <c:catAx>
        <c:axId val="1068790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793504"/>
        <c:crosses val="autoZero"/>
        <c:auto val="1"/>
        <c:lblAlgn val="ctr"/>
        <c:lblOffset val="100"/>
        <c:noMultiLvlLbl val="0"/>
      </c:catAx>
      <c:valAx>
        <c:axId val="1068793504"/>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Participants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06879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[ndis_dashboard_dataset_100_FINANCE_v3.xlsx]Pivot Tables!PivotTable12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SLA Status per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Tables'!$B$38:$B$39</c:f>
              <c:strCache>
                <c:ptCount val="1"/>
                <c:pt idx="0">
                  <c:v>Expiring</c:v>
                </c:pt>
              </c:strCache>
            </c:strRef>
          </c:tx>
          <c:spPr>
            <a:solidFill>
              <a:srgbClr val="FF33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Tables'!$A$40:$A$44</c:f>
              <c:strCache>
                <c:ptCount val="4"/>
                <c:pt idx="0">
                  <c:v>Newcastle</c:v>
                </c:pt>
                <c:pt idx="1">
                  <c:v>Port Macquarie</c:v>
                </c:pt>
                <c:pt idx="2">
                  <c:v>Sydney</c:v>
                </c:pt>
                <c:pt idx="3">
                  <c:v>Tweed Heads</c:v>
                </c:pt>
              </c:strCache>
            </c:strRef>
          </c:cat>
          <c:val>
            <c:numRef>
              <c:f>'Pivot Tables'!$B$40:$B$44</c:f>
              <c:numCache>
                <c:formatCode>General</c:formatCode>
                <c:ptCount val="4"/>
                <c:pt idx="1">
                  <c:v>1</c:v>
                </c:pt>
                <c:pt idx="2">
                  <c:v>1</c:v>
                </c:pt>
                <c:pt idx="3">
                  <c:v>1</c:v>
                </c:pt>
              </c:numCache>
            </c:numRef>
          </c:val>
          <c:extLst>
            <c:ext xmlns:c16="http://schemas.microsoft.com/office/drawing/2014/chart" uri="{C3380CC4-5D6E-409C-BE32-E72D297353CC}">
              <c16:uniqueId val="{00000000-7948-4450-BF57-696B2B4E7437}"/>
            </c:ext>
          </c:extLst>
        </c:ser>
        <c:ser>
          <c:idx val="1"/>
          <c:order val="1"/>
          <c:tx>
            <c:strRef>
              <c:f>'Pivot Tables'!$C$38:$C$39</c:f>
              <c:strCache>
                <c:ptCount val="1"/>
                <c:pt idx="0">
                  <c:v>Active</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Tables'!$A$40:$A$44</c:f>
              <c:strCache>
                <c:ptCount val="4"/>
                <c:pt idx="0">
                  <c:v>Newcastle</c:v>
                </c:pt>
                <c:pt idx="1">
                  <c:v>Port Macquarie</c:v>
                </c:pt>
                <c:pt idx="2">
                  <c:v>Sydney</c:v>
                </c:pt>
                <c:pt idx="3">
                  <c:v>Tweed Heads</c:v>
                </c:pt>
              </c:strCache>
            </c:strRef>
          </c:cat>
          <c:val>
            <c:numRef>
              <c:f>'Pivot Tables'!$C$40:$C$44</c:f>
              <c:numCache>
                <c:formatCode>General</c:formatCode>
                <c:ptCount val="4"/>
                <c:pt idx="0">
                  <c:v>1</c:v>
                </c:pt>
              </c:numCache>
            </c:numRef>
          </c:val>
          <c:extLst>
            <c:ext xmlns:c16="http://schemas.microsoft.com/office/drawing/2014/chart" uri="{C3380CC4-5D6E-409C-BE32-E72D297353CC}">
              <c16:uniqueId val="{00000010-7948-4450-BF57-696B2B4E7437}"/>
            </c:ext>
          </c:extLst>
        </c:ser>
        <c:ser>
          <c:idx val="2"/>
          <c:order val="2"/>
          <c:tx>
            <c:strRef>
              <c:f>'Pivot Tables'!$D$38:$D$39</c:f>
              <c:strCache>
                <c:ptCount val="1"/>
                <c:pt idx="0">
                  <c:v>Healthy</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Tables'!$A$40:$A$44</c:f>
              <c:strCache>
                <c:ptCount val="4"/>
                <c:pt idx="0">
                  <c:v>Newcastle</c:v>
                </c:pt>
                <c:pt idx="1">
                  <c:v>Port Macquarie</c:v>
                </c:pt>
                <c:pt idx="2">
                  <c:v>Sydney</c:v>
                </c:pt>
                <c:pt idx="3">
                  <c:v>Tweed Heads</c:v>
                </c:pt>
              </c:strCache>
            </c:strRef>
          </c:cat>
          <c:val>
            <c:numRef>
              <c:f>'Pivot Tables'!$D$40:$D$44</c:f>
              <c:numCache>
                <c:formatCode>General</c:formatCode>
                <c:ptCount val="4"/>
                <c:pt idx="0">
                  <c:v>12</c:v>
                </c:pt>
                <c:pt idx="1">
                  <c:v>11</c:v>
                </c:pt>
                <c:pt idx="2">
                  <c:v>9</c:v>
                </c:pt>
                <c:pt idx="3">
                  <c:v>12</c:v>
                </c:pt>
              </c:numCache>
            </c:numRef>
          </c:val>
          <c:extLst>
            <c:ext xmlns:c16="http://schemas.microsoft.com/office/drawing/2014/chart" uri="{C3380CC4-5D6E-409C-BE32-E72D297353CC}">
              <c16:uniqueId val="{00000011-7948-4450-BF57-696B2B4E7437}"/>
            </c:ext>
          </c:extLst>
        </c:ser>
        <c:dLbls>
          <c:dLblPos val="outEnd"/>
          <c:showLegendKey val="0"/>
          <c:showVal val="1"/>
          <c:showCatName val="0"/>
          <c:showSerName val="0"/>
          <c:showPercent val="0"/>
          <c:showBubbleSize val="0"/>
        </c:dLbls>
        <c:gapWidth val="182"/>
        <c:axId val="1068832864"/>
        <c:axId val="1068833824"/>
      </c:barChart>
      <c:catAx>
        <c:axId val="106883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833824"/>
        <c:crosses val="autoZero"/>
        <c:auto val="1"/>
        <c:lblAlgn val="ctr"/>
        <c:lblOffset val="100"/>
        <c:noMultiLvlLbl val="0"/>
      </c:catAx>
      <c:valAx>
        <c:axId val="1068833824"/>
        <c:scaling>
          <c:orientation val="minMax"/>
        </c:scaling>
        <c:delete val="1"/>
        <c:axPos val="l"/>
        <c:numFmt formatCode="General" sourceLinked="1"/>
        <c:majorTickMark val="none"/>
        <c:minorTickMark val="none"/>
        <c:tickLblPos val="nextTo"/>
        <c:crossAx val="1068832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66675</xdr:colOff>
      <xdr:row>0</xdr:row>
      <xdr:rowOff>133350</xdr:rowOff>
    </xdr:from>
    <xdr:to>
      <xdr:col>7</xdr:col>
      <xdr:colOff>104775</xdr:colOff>
      <xdr:row>15</xdr:row>
      <xdr:rowOff>161925</xdr:rowOff>
    </xdr:to>
    <xdr:graphicFrame macro="">
      <xdr:nvGraphicFramePr>
        <xdr:cNvPr id="2" name="Chart 1">
          <a:extLst>
            <a:ext uri="{FF2B5EF4-FFF2-40B4-BE49-F238E27FC236}">
              <a16:creationId xmlns:a16="http://schemas.microsoft.com/office/drawing/2014/main" id="{E5E91B0F-3F8F-4EE8-8240-03030C43BE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28575</xdr:colOff>
      <xdr:row>0</xdr:row>
      <xdr:rowOff>152400</xdr:rowOff>
    </xdr:from>
    <xdr:to>
      <xdr:col>16</xdr:col>
      <xdr:colOff>66675</xdr:colOff>
      <xdr:row>16</xdr:row>
      <xdr:rowOff>0</xdr:rowOff>
    </xdr:to>
    <xdr:graphicFrame macro="">
      <xdr:nvGraphicFramePr>
        <xdr:cNvPr id="3" name="Chart 2">
          <a:extLst>
            <a:ext uri="{FF2B5EF4-FFF2-40B4-BE49-F238E27FC236}">
              <a16:creationId xmlns:a16="http://schemas.microsoft.com/office/drawing/2014/main" id="{86CD6EB4-910F-49B4-A8D3-34086E7C6F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19050</xdr:rowOff>
    </xdr:from>
    <xdr:to>
      <xdr:col>7</xdr:col>
      <xdr:colOff>38100</xdr:colOff>
      <xdr:row>34</xdr:row>
      <xdr:rowOff>47625</xdr:rowOff>
    </xdr:to>
    <xdr:graphicFrame macro="">
      <xdr:nvGraphicFramePr>
        <xdr:cNvPr id="4" name="Chart 3">
          <a:extLst>
            <a:ext uri="{FF2B5EF4-FFF2-40B4-BE49-F238E27FC236}">
              <a16:creationId xmlns:a16="http://schemas.microsoft.com/office/drawing/2014/main" id="{68FEFAB3-9BE2-487C-B3F3-3678D89EF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19</xdr:row>
      <xdr:rowOff>0</xdr:rowOff>
    </xdr:from>
    <xdr:to>
      <xdr:col>15</xdr:col>
      <xdr:colOff>247650</xdr:colOff>
      <xdr:row>34</xdr:row>
      <xdr:rowOff>28575</xdr:rowOff>
    </xdr:to>
    <xdr:graphicFrame macro="">
      <xdr:nvGraphicFramePr>
        <xdr:cNvPr id="5" name="Chart 4">
          <a:extLst>
            <a:ext uri="{FF2B5EF4-FFF2-40B4-BE49-F238E27FC236}">
              <a16:creationId xmlns:a16="http://schemas.microsoft.com/office/drawing/2014/main" id="{4391FA99-3C65-49DA-856B-472C70365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36</xdr:row>
      <xdr:rowOff>95250</xdr:rowOff>
    </xdr:from>
    <xdr:to>
      <xdr:col>7</xdr:col>
      <xdr:colOff>38100</xdr:colOff>
      <xdr:row>51</xdr:row>
      <xdr:rowOff>123825</xdr:rowOff>
    </xdr:to>
    <xdr:graphicFrame macro="">
      <xdr:nvGraphicFramePr>
        <xdr:cNvPr id="6" name="Chart 5">
          <a:extLst>
            <a:ext uri="{FF2B5EF4-FFF2-40B4-BE49-F238E27FC236}">
              <a16:creationId xmlns:a16="http://schemas.microsoft.com/office/drawing/2014/main" id="{CE28CD9B-B5BD-4A6F-87FD-84D1379FA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590550</xdr:colOff>
      <xdr:row>6</xdr:row>
      <xdr:rowOff>19050</xdr:rowOff>
    </xdr:from>
    <xdr:to>
      <xdr:col>9</xdr:col>
      <xdr:colOff>228599</xdr:colOff>
      <xdr:row>21</xdr:row>
      <xdr:rowOff>47625</xdr:rowOff>
    </xdr:to>
    <xdr:graphicFrame macro="">
      <xdr:nvGraphicFramePr>
        <xdr:cNvPr id="2" name="Chart 1">
          <a:extLst>
            <a:ext uri="{FF2B5EF4-FFF2-40B4-BE49-F238E27FC236}">
              <a16:creationId xmlns:a16="http://schemas.microsoft.com/office/drawing/2014/main" id="{E5537993-ECED-4AF4-BB31-035462515D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266700</xdr:colOff>
      <xdr:row>6</xdr:row>
      <xdr:rowOff>19050</xdr:rowOff>
    </xdr:from>
    <xdr:to>
      <xdr:col>16</xdr:col>
      <xdr:colOff>76200</xdr:colOff>
      <xdr:row>21</xdr:row>
      <xdr:rowOff>46945</xdr:rowOff>
    </xdr:to>
    <xdr:graphicFrame macro="">
      <xdr:nvGraphicFramePr>
        <xdr:cNvPr id="3" name="Chart 2">
          <a:extLst>
            <a:ext uri="{FF2B5EF4-FFF2-40B4-BE49-F238E27FC236}">
              <a16:creationId xmlns:a16="http://schemas.microsoft.com/office/drawing/2014/main" id="{E456C97F-502E-44B6-84C5-3267862E8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600074</xdr:colOff>
      <xdr:row>21</xdr:row>
      <xdr:rowOff>104775</xdr:rowOff>
    </xdr:from>
    <xdr:to>
      <xdr:col>11</xdr:col>
      <xdr:colOff>438149</xdr:colOff>
      <xdr:row>36</xdr:row>
      <xdr:rowOff>133350</xdr:rowOff>
    </xdr:to>
    <xdr:graphicFrame macro="">
      <xdr:nvGraphicFramePr>
        <xdr:cNvPr id="4" name="Chart 3">
          <a:extLst>
            <a:ext uri="{FF2B5EF4-FFF2-40B4-BE49-F238E27FC236}">
              <a16:creationId xmlns:a16="http://schemas.microsoft.com/office/drawing/2014/main" id="{78AFDE9A-560B-45A2-8321-D20884CD80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95251</xdr:colOff>
      <xdr:row>6</xdr:row>
      <xdr:rowOff>38100</xdr:rowOff>
    </xdr:from>
    <xdr:to>
      <xdr:col>22</xdr:col>
      <xdr:colOff>1</xdr:colOff>
      <xdr:row>21</xdr:row>
      <xdr:rowOff>66675</xdr:rowOff>
    </xdr:to>
    <xdr:graphicFrame macro="">
      <xdr:nvGraphicFramePr>
        <xdr:cNvPr id="5" name="Chart 4">
          <a:extLst>
            <a:ext uri="{FF2B5EF4-FFF2-40B4-BE49-F238E27FC236}">
              <a16:creationId xmlns:a16="http://schemas.microsoft.com/office/drawing/2014/main" id="{30C57A39-83ED-4B49-AF9E-2D098C145C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457200</xdr:colOff>
      <xdr:row>21</xdr:row>
      <xdr:rowOff>104775</xdr:rowOff>
    </xdr:from>
    <xdr:to>
      <xdr:col>19</xdr:col>
      <xdr:colOff>380999</xdr:colOff>
      <xdr:row>36</xdr:row>
      <xdr:rowOff>133350</xdr:rowOff>
    </xdr:to>
    <xdr:graphicFrame macro="">
      <xdr:nvGraphicFramePr>
        <xdr:cNvPr id="6" name="Chart 5">
          <a:extLst>
            <a:ext uri="{FF2B5EF4-FFF2-40B4-BE49-F238E27FC236}">
              <a16:creationId xmlns:a16="http://schemas.microsoft.com/office/drawing/2014/main" id="{35B13016-C7AB-48D3-8188-817ECD7DCB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47625</xdr:colOff>
      <xdr:row>12</xdr:row>
      <xdr:rowOff>142875</xdr:rowOff>
    </xdr:from>
    <xdr:to>
      <xdr:col>2</xdr:col>
      <xdr:colOff>581025</xdr:colOff>
      <xdr:row>20</xdr:row>
      <xdr:rowOff>152400</xdr:rowOff>
    </xdr:to>
    <mc:AlternateContent xmlns:mc="http://schemas.openxmlformats.org/markup-compatibility/2006">
      <mc:Choice xmlns:a14="http://schemas.microsoft.com/office/drawing/2010/main" Requires="a14">
        <xdr:graphicFrame macro="">
          <xdr:nvGraphicFramePr>
            <xdr:cNvPr id="16" name="Region">
              <a:extLst>
                <a:ext uri="{FF2B5EF4-FFF2-40B4-BE49-F238E27FC236}">
                  <a16:creationId xmlns:a16="http://schemas.microsoft.com/office/drawing/2014/main" id="{FCC4ADCD-39E2-15A1-2F2A-2C57081E0F6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7625" y="2286000"/>
              <a:ext cx="1828800" cy="145732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6</xdr:row>
      <xdr:rowOff>114300</xdr:rowOff>
    </xdr:from>
    <xdr:to>
      <xdr:col>2</xdr:col>
      <xdr:colOff>581025</xdr:colOff>
      <xdr:row>11</xdr:row>
      <xdr:rowOff>133350</xdr:rowOff>
    </xdr:to>
    <mc:AlternateContent xmlns:mc="http://schemas.openxmlformats.org/markup-compatibility/2006">
      <mc:Choice xmlns:a14="http://schemas.microsoft.com/office/drawing/2010/main" Requires="a14">
        <xdr:graphicFrame macro="">
          <xdr:nvGraphicFramePr>
            <xdr:cNvPr id="17" name="Support Category">
              <a:extLst>
                <a:ext uri="{FF2B5EF4-FFF2-40B4-BE49-F238E27FC236}">
                  <a16:creationId xmlns:a16="http://schemas.microsoft.com/office/drawing/2014/main" id="{806D316D-5BE3-A865-3877-DDC8FAF8BB44}"/>
                </a:ext>
              </a:extLst>
            </xdr:cNvPr>
            <xdr:cNvGraphicFramePr/>
          </xdr:nvGraphicFramePr>
          <xdr:xfrm>
            <a:off x="0" y="0"/>
            <a:ext cx="0" cy="0"/>
          </xdr:xfrm>
          <a:graphic>
            <a:graphicData uri="http://schemas.microsoft.com/office/drawing/2010/slicer">
              <sle:slicer xmlns:sle="http://schemas.microsoft.com/office/drawing/2010/slicer" name="Support Category"/>
            </a:graphicData>
          </a:graphic>
        </xdr:graphicFrame>
      </mc:Choice>
      <mc:Fallback>
        <xdr:sp macro="" textlink="">
          <xdr:nvSpPr>
            <xdr:cNvPr id="0" name=""/>
            <xdr:cNvSpPr>
              <a:spLocks noTextEdit="1"/>
            </xdr:cNvSpPr>
          </xdr:nvSpPr>
          <xdr:spPr>
            <a:xfrm>
              <a:off x="47625" y="1171575"/>
              <a:ext cx="1828800" cy="92392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dro Lacerda" refreshedDate="46025.748362615741" createdVersion="8" refreshedVersion="8" minRefreshableVersion="3" recordCount="100" xr:uid="{5033044D-3136-4655-90E3-3AF9CAC0B55D}">
  <cacheSource type="worksheet">
    <worksheetSource ref="A1:T101" sheet="ndis_dataset"/>
  </cacheSource>
  <cacheFields count="20">
    <cacheField name="ParticipantID" numFmtId="49">
      <sharedItems/>
    </cacheField>
    <cacheField name="FirstName" numFmtId="49">
      <sharedItems/>
    </cacheField>
    <cacheField name="LastName" numFmtId="49">
      <sharedItems/>
    </cacheField>
    <cacheField name="FullName" numFmtId="0">
      <sharedItems/>
    </cacheField>
    <cacheField name="DOB" numFmtId="14">
      <sharedItems containsSemiMixedTypes="0" containsNonDate="0" containsDate="1" containsString="0" minDate="1952-03-23T00:00:00" maxDate="2010-05-31T00:00:00"/>
    </cacheField>
    <cacheField name="Region" numFmtId="49">
      <sharedItems count="4">
        <s v="Newcastle"/>
        <s v="Tweed Heads"/>
        <s v="Sydney"/>
        <s v="Port Macquarie"/>
      </sharedItems>
    </cacheField>
    <cacheField name="ServiceAgreementID" numFmtId="49">
      <sharedItems/>
    </cacheField>
    <cacheField name="DaysRemaining" numFmtId="1">
      <sharedItems containsSemiMixedTypes="0" containsString="0" containsNumber="1" containsInteger="1" minValue="0" maxValue="362"/>
    </cacheField>
    <cacheField name="SupportCategory" numFmtId="49">
      <sharedItems count="2">
        <s v="Assistance with Social, Economic and Community Participation"/>
        <s v="Support Coordination/Recovery Coach"/>
      </sharedItems>
    </cacheField>
    <cacheField name="SupportCategory_Short" numFmtId="0">
      <sharedItems count="2">
        <s v="Community Participation"/>
        <s v="Support Coordination"/>
      </sharedItems>
    </cacheField>
    <cacheField name="TotalAllocation" numFmtId="8">
      <sharedItems containsSemiMixedTypes="0" containsString="0" containsNumber="1" minValue="12153.63" maxValue="394403.68"/>
    </cacheField>
    <cacheField name="TotalDelivered" numFmtId="8">
      <sharedItems containsSemiMixedTypes="0" containsString="0" containsNumber="1" minValue="12116.75" maxValue="403034.27"/>
    </cacheField>
    <cacheField name="UtilisationPercentage" numFmtId="164">
      <sharedItems containsSemiMixedTypes="0" containsString="0" containsNumber="1" minValue="0.80500000000000005" maxValue="1.0961000000000001"/>
    </cacheField>
    <cacheField name="CostPerHour" numFmtId="165">
      <sharedItems containsSemiMixedTypes="0" containsString="0" containsNumber="1" minValue="45.36" maxValue="63.47"/>
    </cacheField>
    <cacheField name="RevenuePerHour" numFmtId="165">
      <sharedItems containsSemiMixedTypes="0" containsString="0" containsNumber="1" minValue="70.23" maxValue="100.14"/>
    </cacheField>
    <cacheField name="TotalCost" numFmtId="165">
      <sharedItems containsSemiMixedTypes="0" containsString="0" containsNumber="1" minValue="7825.94" maxValue="255448.22"/>
    </cacheField>
    <cacheField name="TotalRevenue" numFmtId="165">
      <sharedItems containsSemiMixedTypes="0" containsString="0" containsNumber="1" minValue="12116.75" maxValue="403034.27"/>
    </cacheField>
    <cacheField name="Margin" numFmtId="165">
      <sharedItems containsSemiMixedTypes="0" containsString="0" containsNumber="1" minValue="4290.8100000000004" maxValue="147586.04999999999"/>
    </cacheField>
    <cacheField name="Status" numFmtId="0">
      <sharedItems count="2">
        <s v="Overspent"/>
        <s v="On Track"/>
      </sharedItems>
    </cacheField>
    <cacheField name="SLA Status" numFmtId="0">
      <sharedItems count="3">
        <s v="Healthy"/>
        <s v="Expiring"/>
        <s v="Active"/>
      </sharedItems>
    </cacheField>
  </cacheFields>
  <extLst>
    <ext xmlns:x14="http://schemas.microsoft.com/office/spreadsheetml/2009/9/main" uri="{725AE2AE-9491-48be-B2B4-4EB974FC3084}">
      <x14:pivotCacheDefinition pivotCacheId="16009489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P0001"/>
    <s v="Casey"/>
    <s v="Smith"/>
    <s v="Casey Smith"/>
    <d v="1974-09-04T00:00:00"/>
    <x v="0"/>
    <s v="SA-18728464"/>
    <n v="52"/>
    <x v="0"/>
    <x v="0"/>
    <n v="156070.65"/>
    <n v="169370.1"/>
    <n v="1.0851999999999999"/>
    <n v="45.36"/>
    <n v="70.23"/>
    <n v="109392.39"/>
    <n v="169370.1"/>
    <n v="59977.71"/>
    <x v="0"/>
    <x v="0"/>
  </r>
  <r>
    <s v="P0002"/>
    <s v="Parker"/>
    <s v="Brown"/>
    <s v="Parker Brown"/>
    <d v="2002-12-23T00:00:00"/>
    <x v="1"/>
    <s v="SA-03999316"/>
    <n v="47"/>
    <x v="0"/>
    <x v="0"/>
    <n v="295477.64"/>
    <n v="289449.17"/>
    <n v="0.97959999999999992"/>
    <n v="45.36"/>
    <n v="70.23"/>
    <n v="186948.8"/>
    <n v="289449.17"/>
    <n v="102500.37"/>
    <x v="1"/>
    <x v="0"/>
  </r>
  <r>
    <s v="P0003"/>
    <s v="Pat"/>
    <s v="Jackson"/>
    <s v="Pat Jackson"/>
    <d v="1995-05-04T00:00:00"/>
    <x v="2"/>
    <s v="SA-96102526"/>
    <n v="332"/>
    <x v="0"/>
    <x v="0"/>
    <n v="70847.27"/>
    <n v="59993.35"/>
    <n v="0.84680000000000011"/>
    <n v="45.36"/>
    <n v="70.23"/>
    <n v="38748.379999999997"/>
    <n v="59993.35"/>
    <n v="21244.98"/>
    <x v="1"/>
    <x v="0"/>
  </r>
  <r>
    <s v="P0004"/>
    <s v="Parker"/>
    <s v="Martinez"/>
    <s v="Parker Martinez"/>
    <d v="1969-10-11T00:00:00"/>
    <x v="1"/>
    <s v="SA-00872249"/>
    <n v="81"/>
    <x v="1"/>
    <x v="1"/>
    <n v="32652.61"/>
    <n v="34606.959999999999"/>
    <n v="1.0598999999999998"/>
    <n v="63.47"/>
    <n v="100.14"/>
    <n v="21934.33"/>
    <n v="34606.959999999999"/>
    <n v="12672.63"/>
    <x v="0"/>
    <x v="0"/>
  </r>
  <r>
    <s v="P0005"/>
    <s v="Charlie"/>
    <s v="Martin"/>
    <s v="Charlie Martin"/>
    <d v="1974-12-06T00:00:00"/>
    <x v="0"/>
    <s v="SA-45176956"/>
    <n v="52"/>
    <x v="0"/>
    <x v="0"/>
    <n v="244434.85"/>
    <n v="247471.17"/>
    <n v="1.0124"/>
    <n v="45.36"/>
    <n v="70.23"/>
    <n v="159836.14000000001"/>
    <n v="247471.17"/>
    <n v="87635.03"/>
    <x v="0"/>
    <x v="0"/>
  </r>
  <r>
    <s v="P0006"/>
    <s v="Taylor"/>
    <s v="Garcia"/>
    <s v="Taylor Garcia"/>
    <d v="1958-09-05T00:00:00"/>
    <x v="3"/>
    <s v="SA-81030737"/>
    <n v="135"/>
    <x v="1"/>
    <x v="1"/>
    <n v="18027.95"/>
    <n v="19668.009999999998"/>
    <n v="1.091"/>
    <n v="63.47"/>
    <n v="100.14"/>
    <n v="12465.83"/>
    <n v="19668.009999999998"/>
    <n v="7202.18"/>
    <x v="0"/>
    <x v="0"/>
  </r>
  <r>
    <s v="P0007"/>
    <s v="Jordan"/>
    <s v="Robinson"/>
    <s v="Jordan Robinson"/>
    <d v="1998-02-09T00:00:00"/>
    <x v="2"/>
    <s v="SA-10576384"/>
    <n v="282"/>
    <x v="1"/>
    <x v="1"/>
    <n v="334652.63"/>
    <n v="289040.06"/>
    <n v="0.86370000000000002"/>
    <n v="63.47"/>
    <n v="100.14"/>
    <n v="183197.25"/>
    <n v="289040.06"/>
    <n v="105842.81"/>
    <x v="1"/>
    <x v="0"/>
  </r>
  <r>
    <s v="P0008"/>
    <s v="Riley"/>
    <s v="Hall"/>
    <s v="Riley Hall"/>
    <d v="1982-06-12T00:00:00"/>
    <x v="0"/>
    <s v="SA-06150445"/>
    <n v="338"/>
    <x v="0"/>
    <x v="0"/>
    <n v="80911.740000000005"/>
    <n v="69181.259999999995"/>
    <n v="0.85499999999999998"/>
    <n v="45.36"/>
    <n v="70.23"/>
    <n v="44682.64"/>
    <n v="69181.259999999995"/>
    <n v="24498.62"/>
    <x v="1"/>
    <x v="0"/>
  </r>
  <r>
    <s v="P0009"/>
    <s v="Jamie"/>
    <s v="Harris"/>
    <s v="Jamie Harris"/>
    <d v="1957-02-27T00:00:00"/>
    <x v="0"/>
    <s v="SA-51019679"/>
    <n v="142"/>
    <x v="0"/>
    <x v="0"/>
    <n v="128654.47"/>
    <n v="123177.26"/>
    <n v="0.95739999999999992"/>
    <n v="45.36"/>
    <n v="70.23"/>
    <n v="79557.460000000006"/>
    <n v="123177.26"/>
    <n v="43619.8"/>
    <x v="1"/>
    <x v="0"/>
  </r>
  <r>
    <s v="P0010"/>
    <s v="Quinn"/>
    <s v="Thompson"/>
    <s v="Quinn Thompson"/>
    <d v="1964-08-04T00:00:00"/>
    <x v="3"/>
    <s v="SA-28119558"/>
    <n v="343"/>
    <x v="1"/>
    <x v="1"/>
    <n v="178458.56"/>
    <n v="158358.54999999999"/>
    <n v="0.88739999999999997"/>
    <n v="63.47"/>
    <n v="100.14"/>
    <n v="100369.65"/>
    <n v="158358.54999999999"/>
    <n v="57988.89"/>
    <x v="1"/>
    <x v="0"/>
  </r>
  <r>
    <s v="P0011"/>
    <s v="Morgan"/>
    <s v="Brown"/>
    <s v="Morgan Brown"/>
    <d v="2004-08-25T00:00:00"/>
    <x v="0"/>
    <s v="SA-21931512"/>
    <n v="236"/>
    <x v="0"/>
    <x v="0"/>
    <n v="248622.63"/>
    <n v="209302.5"/>
    <n v="0.8418000000000001"/>
    <n v="45.36"/>
    <n v="70.23"/>
    <n v="135183.85"/>
    <n v="209302.5"/>
    <n v="74118.66"/>
    <x v="1"/>
    <x v="0"/>
  </r>
  <r>
    <s v="P0012"/>
    <s v="Harper"/>
    <s v="White"/>
    <s v="Harper White"/>
    <d v="2007-06-02T00:00:00"/>
    <x v="0"/>
    <s v="SA-07507865"/>
    <n v="117"/>
    <x v="1"/>
    <x v="1"/>
    <n v="123936.41"/>
    <n v="112770.8"/>
    <n v="0.90989999999999993"/>
    <n v="63.47"/>
    <n v="100.14"/>
    <n v="71475.56"/>
    <n v="112770.8"/>
    <n v="41295.24"/>
    <x v="1"/>
    <x v="0"/>
  </r>
  <r>
    <s v="P0013"/>
    <s v="Jordan"/>
    <s v="Martin"/>
    <s v="Jordan Martin"/>
    <d v="1985-12-28T00:00:00"/>
    <x v="3"/>
    <s v="SA-28317638"/>
    <n v="290"/>
    <x v="0"/>
    <x v="0"/>
    <n v="187867.29"/>
    <n v="194546.5"/>
    <n v="1.0356000000000001"/>
    <n v="45.36"/>
    <n v="70.23"/>
    <n v="125653.27"/>
    <n v="194546.5"/>
    <n v="68893.23"/>
    <x v="0"/>
    <x v="0"/>
  </r>
  <r>
    <s v="P0014"/>
    <s v="Logan"/>
    <s v="Thomas"/>
    <s v="Logan Thomas"/>
    <d v="2008-10-20T00:00:00"/>
    <x v="1"/>
    <s v="SA-86282118"/>
    <n v="234"/>
    <x v="1"/>
    <x v="1"/>
    <n v="87872.78"/>
    <n v="83854.38"/>
    <n v="0.95430000000000004"/>
    <n v="63.47"/>
    <n v="100.14"/>
    <n v="53147.97"/>
    <n v="83854.38"/>
    <n v="30706.41"/>
    <x v="1"/>
    <x v="0"/>
  </r>
  <r>
    <s v="P0015"/>
    <s v="Sam"/>
    <s v="White"/>
    <s v="Sam White"/>
    <d v="1962-07-12T00:00:00"/>
    <x v="0"/>
    <s v="SA-78461804"/>
    <n v="219"/>
    <x v="1"/>
    <x v="1"/>
    <n v="241041.68"/>
    <n v="196192.29"/>
    <n v="0.81389999999999996"/>
    <n v="63.47"/>
    <n v="100.14"/>
    <n v="124349.16"/>
    <n v="196192.29"/>
    <n v="71843.13"/>
    <x v="1"/>
    <x v="0"/>
  </r>
  <r>
    <s v="P0016"/>
    <s v="Rowan"/>
    <s v="Garcia"/>
    <s v="Rowan Garcia"/>
    <d v="1982-06-23T00:00:00"/>
    <x v="0"/>
    <s v="SA-68387462"/>
    <n v="252"/>
    <x v="0"/>
    <x v="0"/>
    <n v="246942.49"/>
    <n v="210186.89"/>
    <n v="0.85120000000000007"/>
    <n v="45.36"/>
    <n v="70.23"/>
    <n v="135755.04999999999"/>
    <n v="210186.89"/>
    <n v="74431.839999999997"/>
    <x v="1"/>
    <x v="0"/>
  </r>
  <r>
    <s v="P0017"/>
    <s v="Taylor"/>
    <s v="Johnson"/>
    <s v="Taylor Johnson"/>
    <d v="1959-11-02T00:00:00"/>
    <x v="0"/>
    <s v="SA-91332643"/>
    <n v="216"/>
    <x v="0"/>
    <x v="0"/>
    <n v="35370.120000000003"/>
    <n v="38364.76"/>
    <n v="1.0847"/>
    <n v="45.36"/>
    <n v="70.23"/>
    <n v="24778.95"/>
    <n v="38364.76"/>
    <n v="13585.81"/>
    <x v="0"/>
    <x v="0"/>
  </r>
  <r>
    <s v="P0018"/>
    <s v="Drew"/>
    <s v="Brown"/>
    <s v="Drew Brown"/>
    <d v="1984-07-09T00:00:00"/>
    <x v="1"/>
    <s v="SA-71016526"/>
    <n v="128"/>
    <x v="1"/>
    <x v="1"/>
    <n v="386596.49"/>
    <n v="403034.27"/>
    <n v="1.0425"/>
    <n v="63.47"/>
    <n v="100.14"/>
    <n v="255448.22"/>
    <n v="403034.27"/>
    <n v="147586.04999999999"/>
    <x v="0"/>
    <x v="0"/>
  </r>
  <r>
    <s v="P0019"/>
    <s v="Parker"/>
    <s v="Smith"/>
    <s v="Parker Smith"/>
    <d v="1960-04-11T00:00:00"/>
    <x v="3"/>
    <s v="SA-14972280"/>
    <n v="150"/>
    <x v="1"/>
    <x v="1"/>
    <n v="128799.37"/>
    <n v="106813.53"/>
    <n v="0.82930000000000004"/>
    <n v="63.47"/>
    <n v="100.14"/>
    <n v="67699.77"/>
    <n v="106813.53"/>
    <n v="39113.760000000002"/>
    <x v="1"/>
    <x v="0"/>
  </r>
  <r>
    <s v="P0020"/>
    <s v="Charlie"/>
    <s v="Anderson"/>
    <s v="Charlie Anderson"/>
    <d v="1990-09-15T00:00:00"/>
    <x v="2"/>
    <s v="SA-67187531"/>
    <n v="91"/>
    <x v="1"/>
    <x v="1"/>
    <n v="276850.88"/>
    <n v="258037.69"/>
    <n v="0.93200000000000005"/>
    <n v="63.47"/>
    <n v="100.14"/>
    <n v="163547.54999999999"/>
    <n v="258037.69"/>
    <n v="94490.13"/>
    <x v="1"/>
    <x v="0"/>
  </r>
  <r>
    <s v="P0021"/>
    <s v="Elliot"/>
    <s v="Wilson"/>
    <s v="Elliot Wilson"/>
    <d v="2006-02-05T00:00:00"/>
    <x v="3"/>
    <s v="SA-20513740"/>
    <n v="191"/>
    <x v="0"/>
    <x v="0"/>
    <n v="57594.91"/>
    <n v="54631.83"/>
    <n v="0.9486"/>
    <n v="45.36"/>
    <n v="70.23"/>
    <n v="35285.49"/>
    <n v="54631.83"/>
    <n v="19346.34"/>
    <x v="1"/>
    <x v="0"/>
  </r>
  <r>
    <s v="P0022"/>
    <s v="Chris"/>
    <s v="Lewis"/>
    <s v="Chris Lewis"/>
    <d v="1997-07-31T00:00:00"/>
    <x v="2"/>
    <s v="SA-65579549"/>
    <n v="9"/>
    <x v="1"/>
    <x v="1"/>
    <n v="23411.52"/>
    <n v="25115.79"/>
    <n v="1.0728"/>
    <n v="63.47"/>
    <n v="100.14"/>
    <n v="15918.71"/>
    <n v="25115.79"/>
    <n v="9197.08"/>
    <x v="0"/>
    <x v="1"/>
  </r>
  <r>
    <s v="P0023"/>
    <s v="Casey"/>
    <s v="Thompson"/>
    <s v="Casey Thompson"/>
    <d v="1977-08-03T00:00:00"/>
    <x v="0"/>
    <s v="SA-32329238"/>
    <n v="290"/>
    <x v="0"/>
    <x v="0"/>
    <n v="110924.19"/>
    <n v="110786.28"/>
    <n v="0.99879999999999991"/>
    <n v="45.36"/>
    <n v="70.23"/>
    <n v="71554.399999999994"/>
    <n v="110786.28"/>
    <n v="39231.879999999997"/>
    <x v="1"/>
    <x v="0"/>
  </r>
  <r>
    <s v="P0024"/>
    <s v="Taylor"/>
    <s v="Brown"/>
    <s v="Taylor Brown"/>
    <d v="1993-08-07T00:00:00"/>
    <x v="2"/>
    <s v="SA-17232411"/>
    <n v="337"/>
    <x v="0"/>
    <x v="0"/>
    <n v="131567.32"/>
    <n v="125781.04"/>
    <n v="0.95599999999999996"/>
    <n v="45.36"/>
    <n v="70.23"/>
    <n v="81239.19"/>
    <n v="125781.04"/>
    <n v="44541.86"/>
    <x v="1"/>
    <x v="0"/>
  </r>
  <r>
    <s v="P0025"/>
    <s v="Finley"/>
    <s v="Lewis"/>
    <s v="Finley Lewis"/>
    <d v="1964-10-24T00:00:00"/>
    <x v="3"/>
    <s v="SA-28427074"/>
    <n v="276"/>
    <x v="1"/>
    <x v="1"/>
    <n v="223217.01"/>
    <n v="190952.4"/>
    <n v="0.85549999999999993"/>
    <n v="63.47"/>
    <n v="100.14"/>
    <n v="121028.05"/>
    <n v="190952.4"/>
    <n v="69924.350000000006"/>
    <x v="1"/>
    <x v="0"/>
  </r>
  <r>
    <s v="P0026"/>
    <s v="Pat"/>
    <s v="Harris"/>
    <s v="Pat Harris"/>
    <d v="1985-10-18T00:00:00"/>
    <x v="3"/>
    <s v="SA-69467854"/>
    <n v="231"/>
    <x v="1"/>
    <x v="1"/>
    <n v="388138"/>
    <n v="400767.96"/>
    <n v="1.0325"/>
    <n v="63.47"/>
    <n v="100.14"/>
    <n v="254011.81"/>
    <n v="400767.96"/>
    <n v="146756.15"/>
    <x v="0"/>
    <x v="0"/>
  </r>
  <r>
    <s v="P0027"/>
    <s v="Casey"/>
    <s v="Jackson"/>
    <s v="Casey Jackson"/>
    <d v="1970-02-27T00:00:00"/>
    <x v="2"/>
    <s v="SA-02823171"/>
    <n v="301"/>
    <x v="1"/>
    <x v="1"/>
    <n v="376404.59"/>
    <n v="402168.81"/>
    <n v="1.0684"/>
    <n v="63.47"/>
    <n v="100.14"/>
    <n v="254899.68"/>
    <n v="402168.81"/>
    <n v="147269.12"/>
    <x v="0"/>
    <x v="0"/>
  </r>
  <r>
    <s v="P0028"/>
    <s v="Parker"/>
    <s v="Jackson"/>
    <s v="Parker Jackson"/>
    <d v="2002-10-17T00:00:00"/>
    <x v="0"/>
    <s v="SA-09528531"/>
    <n v="362"/>
    <x v="0"/>
    <x v="0"/>
    <n v="243180.99"/>
    <n v="261799.48"/>
    <n v="1.0766"/>
    <n v="45.36"/>
    <n v="70.23"/>
    <n v="169090.48"/>
    <n v="261799.48"/>
    <n v="92709"/>
    <x v="0"/>
    <x v="0"/>
  </r>
  <r>
    <s v="P0029"/>
    <s v="Jordan"/>
    <s v="Jackson"/>
    <s v="Jordan Jackson"/>
    <d v="1956-01-18T00:00:00"/>
    <x v="2"/>
    <s v="SA-09510313"/>
    <n v="263"/>
    <x v="1"/>
    <x v="1"/>
    <n v="44512.08"/>
    <n v="38226.74"/>
    <n v="0.85880000000000001"/>
    <n v="63.47"/>
    <n v="100.14"/>
    <n v="24228.59"/>
    <n v="38226.74"/>
    <n v="13998.15"/>
    <x v="1"/>
    <x v="0"/>
  </r>
  <r>
    <s v="P0030"/>
    <s v="Jamie"/>
    <s v="White"/>
    <s v="Jamie White"/>
    <d v="2010-01-07T00:00:00"/>
    <x v="1"/>
    <s v="SA-72374754"/>
    <n v="67"/>
    <x v="0"/>
    <x v="0"/>
    <n v="27638.639999999999"/>
    <n v="24808.42"/>
    <n v="0.89760000000000006"/>
    <n v="45.36"/>
    <n v="70.23"/>
    <n v="16023.21"/>
    <n v="24808.42"/>
    <n v="8785.2099999999991"/>
    <x v="1"/>
    <x v="0"/>
  </r>
  <r>
    <s v="P0031"/>
    <s v="Rowan"/>
    <s v="Walker"/>
    <s v="Rowan Walker"/>
    <d v="1992-05-28T00:00:00"/>
    <x v="0"/>
    <s v="SA-54634664"/>
    <n v="97"/>
    <x v="1"/>
    <x v="1"/>
    <n v="161584.14000000001"/>
    <n v="142421.01999999999"/>
    <n v="0.88139999999999996"/>
    <n v="63.47"/>
    <n v="100.14"/>
    <n v="90268.25"/>
    <n v="142421.01999999999"/>
    <n v="52152.78"/>
    <x v="1"/>
    <x v="0"/>
  </r>
  <r>
    <s v="P0032"/>
    <s v="Casey"/>
    <s v="Wilson"/>
    <s v="Casey Wilson"/>
    <d v="2009-02-13T00:00:00"/>
    <x v="1"/>
    <s v="SA-56851761"/>
    <n v="210"/>
    <x v="1"/>
    <x v="1"/>
    <n v="333207.63"/>
    <n v="302227.98"/>
    <n v="0.90700000000000003"/>
    <n v="63.47"/>
    <n v="100.14"/>
    <n v="191555.92"/>
    <n v="302227.98"/>
    <n v="110672.06"/>
    <x v="1"/>
    <x v="0"/>
  </r>
  <r>
    <s v="P0033"/>
    <s v="Quinn"/>
    <s v="Johnson"/>
    <s v="Quinn Johnson"/>
    <d v="2010-05-30T00:00:00"/>
    <x v="2"/>
    <s v="SA-54038914"/>
    <n v="173"/>
    <x v="0"/>
    <x v="0"/>
    <n v="119564.46"/>
    <n v="115117.72"/>
    <n v="0.96279999999999999"/>
    <n v="45.36"/>
    <n v="70.23"/>
    <n v="74351.98"/>
    <n v="115117.72"/>
    <n v="40765.74"/>
    <x v="1"/>
    <x v="0"/>
  </r>
  <r>
    <s v="P0034"/>
    <s v="Casey"/>
    <s v="Jackson"/>
    <s v="Casey Jackson"/>
    <d v="1967-03-11T00:00:00"/>
    <x v="0"/>
    <s v="SA-18814950"/>
    <n v="216"/>
    <x v="1"/>
    <x v="1"/>
    <n v="64960.45"/>
    <n v="67601.679999999993"/>
    <n v="1.0407"/>
    <n v="63.47"/>
    <n v="100.14"/>
    <n v="42846.8"/>
    <n v="67601.679999999993"/>
    <n v="24754.880000000001"/>
    <x v="0"/>
    <x v="0"/>
  </r>
  <r>
    <s v="P0035"/>
    <s v="Chris"/>
    <s v="White"/>
    <s v="Chris White"/>
    <d v="1991-07-04T00:00:00"/>
    <x v="0"/>
    <s v="SA-59476002"/>
    <n v="281"/>
    <x v="0"/>
    <x v="0"/>
    <n v="39074.75"/>
    <n v="42828.51"/>
    <n v="1.0961000000000001"/>
    <n v="45.36"/>
    <n v="70.23"/>
    <n v="27661.98"/>
    <n v="42828.51"/>
    <n v="15166.52"/>
    <x v="0"/>
    <x v="0"/>
  </r>
  <r>
    <s v="P0036"/>
    <s v="Casey"/>
    <s v="Johnson"/>
    <s v="Casey Johnson"/>
    <d v="2008-07-04T00:00:00"/>
    <x v="2"/>
    <s v="SA-31726319"/>
    <n v="85"/>
    <x v="0"/>
    <x v="0"/>
    <n v="311175.46000000002"/>
    <n v="267491"/>
    <n v="0.85959999999999992"/>
    <n v="45.36"/>
    <n v="70.23"/>
    <n v="172766.51"/>
    <n v="267491"/>
    <n v="94724.49"/>
    <x v="1"/>
    <x v="0"/>
  </r>
  <r>
    <s v="P0037"/>
    <s v="Charlie"/>
    <s v="Clark"/>
    <s v="Charlie Clark"/>
    <d v="1993-03-09T00:00:00"/>
    <x v="0"/>
    <s v="SA-07869911"/>
    <n v="84"/>
    <x v="1"/>
    <x v="1"/>
    <n v="12153.63"/>
    <n v="12696.14"/>
    <n v="1.0446"/>
    <n v="63.47"/>
    <n v="100.14"/>
    <n v="8046.98"/>
    <n v="12696.14"/>
    <n v="4649.17"/>
    <x v="0"/>
    <x v="0"/>
  </r>
  <r>
    <s v="P0038"/>
    <s v="Harper"/>
    <s v="Smith"/>
    <s v="Harper Smith"/>
    <d v="1985-01-10T00:00:00"/>
    <x v="3"/>
    <s v="SA-38285504"/>
    <n v="216"/>
    <x v="1"/>
    <x v="1"/>
    <n v="285674.36"/>
    <n v="291017.09000000003"/>
    <n v="1.0186999999999999"/>
    <n v="63.47"/>
    <n v="100.14"/>
    <n v="184450.32"/>
    <n v="291017.09000000003"/>
    <n v="106566.77"/>
    <x v="0"/>
    <x v="0"/>
  </r>
  <r>
    <s v="P0039"/>
    <s v="Parker"/>
    <s v="Clark"/>
    <s v="Parker Clark"/>
    <d v="1963-11-21T00:00:00"/>
    <x v="0"/>
    <s v="SA-29219320"/>
    <n v="29"/>
    <x v="1"/>
    <x v="1"/>
    <n v="310795.44"/>
    <n v="255540.17"/>
    <n v="0.82220000000000004"/>
    <n v="63.47"/>
    <n v="100.14"/>
    <n v="161964.6"/>
    <n v="255540.17"/>
    <n v="93575.57"/>
    <x v="1"/>
    <x v="2"/>
  </r>
  <r>
    <s v="P0040"/>
    <s v="Rowan"/>
    <s v="Lewis"/>
    <s v="Rowan Lewis"/>
    <d v="1955-06-21T00:00:00"/>
    <x v="3"/>
    <s v="SA-06729991"/>
    <n v="299"/>
    <x v="0"/>
    <x v="0"/>
    <n v="149801.63"/>
    <n v="125048.52"/>
    <n v="0.83479999999999999"/>
    <n v="45.36"/>
    <n v="70.23"/>
    <n v="80766.070000000007"/>
    <n v="125048.52"/>
    <n v="44282.45"/>
    <x v="1"/>
    <x v="0"/>
  </r>
  <r>
    <s v="P0041"/>
    <s v="Finley"/>
    <s v="Rodriguez"/>
    <s v="Finley Rodriguez"/>
    <d v="1997-08-25T00:00:00"/>
    <x v="0"/>
    <s v="SA-68159588"/>
    <n v="41"/>
    <x v="0"/>
    <x v="0"/>
    <n v="346610.34"/>
    <n v="342100.74"/>
    <n v="0.98699999999999999"/>
    <n v="45.36"/>
    <n v="70.23"/>
    <n v="220955.28"/>
    <n v="342100.74"/>
    <n v="121145.46"/>
    <x v="1"/>
    <x v="0"/>
  </r>
  <r>
    <s v="P0042"/>
    <s v="Chris"/>
    <s v="Brown"/>
    <s v="Chris Brown"/>
    <d v="2003-05-21T00:00:00"/>
    <x v="2"/>
    <s v="SA-54193838"/>
    <n v="61"/>
    <x v="0"/>
    <x v="0"/>
    <n v="139050.23000000001"/>
    <n v="113891.52"/>
    <n v="0.81909999999999994"/>
    <n v="45.36"/>
    <n v="70.23"/>
    <n v="73560.009999999995"/>
    <n v="113891.52"/>
    <n v="40331.51"/>
    <x v="1"/>
    <x v="0"/>
  </r>
  <r>
    <s v="P0043"/>
    <s v="Rowan"/>
    <s v="Jackson"/>
    <s v="Rowan Jackson"/>
    <d v="2001-12-09T00:00:00"/>
    <x v="2"/>
    <s v="SA-56267416"/>
    <n v="336"/>
    <x v="0"/>
    <x v="0"/>
    <n v="131283.10999999999"/>
    <n v="117833.81"/>
    <n v="0.89760000000000006"/>
    <n v="45.36"/>
    <n v="70.23"/>
    <n v="76106.240000000005"/>
    <n v="117833.81"/>
    <n v="41727.56"/>
    <x v="1"/>
    <x v="0"/>
  </r>
  <r>
    <s v="P0044"/>
    <s v="Rowan"/>
    <s v="Walker"/>
    <s v="Rowan Walker"/>
    <d v="1996-11-25T00:00:00"/>
    <x v="3"/>
    <s v="SA-27415206"/>
    <n v="342"/>
    <x v="1"/>
    <x v="1"/>
    <n v="294546.40999999997"/>
    <n v="291974.21000000002"/>
    <n v="0.99129999999999996"/>
    <n v="63.47"/>
    <n v="100.14"/>
    <n v="185056.95"/>
    <n v="291974.21000000002"/>
    <n v="106917.26"/>
    <x v="1"/>
    <x v="0"/>
  </r>
  <r>
    <s v="P0045"/>
    <s v="Logan"/>
    <s v="Jackson"/>
    <s v="Logan Jackson"/>
    <d v="1973-10-30T00:00:00"/>
    <x v="1"/>
    <s v="SA-90152736"/>
    <n v="330"/>
    <x v="0"/>
    <x v="0"/>
    <n v="356012.97"/>
    <n v="335244.77"/>
    <n v="0.94169999999999998"/>
    <n v="45.36"/>
    <n v="70.23"/>
    <n v="216527.16"/>
    <n v="335244.77"/>
    <n v="118717.6"/>
    <x v="1"/>
    <x v="0"/>
  </r>
  <r>
    <s v="P0046"/>
    <s v="Riley"/>
    <s v="Robinson"/>
    <s v="Riley Robinson"/>
    <d v="1978-05-14T00:00:00"/>
    <x v="2"/>
    <s v="SA-61510042"/>
    <n v="318"/>
    <x v="0"/>
    <x v="0"/>
    <n v="56641.760000000002"/>
    <n v="57433.24"/>
    <n v="1.014"/>
    <n v="45.36"/>
    <n v="70.23"/>
    <n v="37094.85"/>
    <n v="57433.24"/>
    <n v="20338.38"/>
    <x v="0"/>
    <x v="0"/>
  </r>
  <r>
    <s v="P0047"/>
    <s v="Rowan"/>
    <s v="Wilson"/>
    <s v="Rowan Wilson"/>
    <d v="1956-07-28T00:00:00"/>
    <x v="0"/>
    <s v="SA-17778020"/>
    <n v="178"/>
    <x v="1"/>
    <x v="1"/>
    <n v="306706.17"/>
    <n v="297009.09000000003"/>
    <n v="0.96840000000000004"/>
    <n v="63.47"/>
    <n v="100.14"/>
    <n v="188248.12"/>
    <n v="297009.09000000003"/>
    <n v="108760.97"/>
    <x v="1"/>
    <x v="0"/>
  </r>
  <r>
    <s v="P0048"/>
    <s v="Taylor"/>
    <s v="Jackson"/>
    <s v="Taylor Jackson"/>
    <d v="1983-02-25T00:00:00"/>
    <x v="3"/>
    <s v="SA-58812138"/>
    <n v="278"/>
    <x v="0"/>
    <x v="0"/>
    <n v="310677.2"/>
    <n v="294565.07"/>
    <n v="0.94810000000000005"/>
    <n v="45.36"/>
    <n v="70.23"/>
    <n v="190253.05"/>
    <n v="294565.07"/>
    <n v="104312.02"/>
    <x v="1"/>
    <x v="0"/>
  </r>
  <r>
    <s v="P0049"/>
    <s v="Riley"/>
    <s v="Hall"/>
    <s v="Riley Hall"/>
    <d v="2008-09-02T00:00:00"/>
    <x v="2"/>
    <s v="SA-89038527"/>
    <n v="53"/>
    <x v="1"/>
    <x v="1"/>
    <n v="213865.8"/>
    <n v="198523.56"/>
    <n v="0.92830000000000001"/>
    <n v="63.47"/>
    <n v="100.14"/>
    <n v="125826.75"/>
    <n v="198523.56"/>
    <n v="72696.820000000007"/>
    <x v="1"/>
    <x v="0"/>
  </r>
  <r>
    <s v="P0050"/>
    <s v="Sam"/>
    <s v="White"/>
    <s v="Sam White"/>
    <d v="1960-05-10T00:00:00"/>
    <x v="2"/>
    <s v="SA-36553959"/>
    <n v="144"/>
    <x v="0"/>
    <x v="0"/>
    <n v="19913.46"/>
    <n v="16575.32"/>
    <n v="0.83239999999999992"/>
    <n v="45.36"/>
    <n v="70.23"/>
    <n v="10705.63"/>
    <n v="16575.32"/>
    <n v="5869.69"/>
    <x v="1"/>
    <x v="0"/>
  </r>
  <r>
    <s v="P0051"/>
    <s v="Drew"/>
    <s v="Thomas"/>
    <s v="Drew Thomas"/>
    <d v="1980-10-05T00:00:00"/>
    <x v="0"/>
    <s v="SA-67834856"/>
    <n v="250"/>
    <x v="1"/>
    <x v="1"/>
    <n v="22257.38"/>
    <n v="22055.35"/>
    <n v="0.9909"/>
    <n v="63.47"/>
    <n v="100.14"/>
    <n v="13978.96"/>
    <n v="22055.35"/>
    <n v="8076.39"/>
    <x v="1"/>
    <x v="0"/>
  </r>
  <r>
    <s v="P0052"/>
    <s v="Morgan"/>
    <s v="Johnson"/>
    <s v="Morgan Johnson"/>
    <d v="1958-04-13T00:00:00"/>
    <x v="1"/>
    <s v="SA-05917226"/>
    <n v="1"/>
    <x v="1"/>
    <x v="1"/>
    <n v="132598.82999999999"/>
    <n v="126309.83"/>
    <n v="0.9526"/>
    <n v="63.47"/>
    <n v="100.14"/>
    <n v="80056.77"/>
    <n v="126309.83"/>
    <n v="46253.06"/>
    <x v="1"/>
    <x v="1"/>
  </r>
  <r>
    <s v="P0053"/>
    <s v="Logan"/>
    <s v="Taylor"/>
    <s v="Logan Taylor"/>
    <d v="2007-02-27T00:00:00"/>
    <x v="3"/>
    <s v="SA-99486329"/>
    <n v="226"/>
    <x v="0"/>
    <x v="0"/>
    <n v="363950.92"/>
    <n v="318379.78000000003"/>
    <n v="0.87480000000000002"/>
    <n v="45.36"/>
    <n v="70.23"/>
    <n v="205634.44"/>
    <n v="318379.78000000003"/>
    <n v="112745.34"/>
    <x v="1"/>
    <x v="0"/>
  </r>
  <r>
    <s v="P0054"/>
    <s v="Parker"/>
    <s v="Martinez"/>
    <s v="Parker Martinez"/>
    <d v="2000-04-27T00:00:00"/>
    <x v="2"/>
    <s v="SA-10099060"/>
    <n v="353"/>
    <x v="0"/>
    <x v="0"/>
    <n v="170049.34"/>
    <n v="174583.76"/>
    <n v="1.0266999999999999"/>
    <n v="45.36"/>
    <n v="70.23"/>
    <n v="112759.78"/>
    <n v="174583.76"/>
    <n v="61823.98"/>
    <x v="0"/>
    <x v="0"/>
  </r>
  <r>
    <s v="P0055"/>
    <s v="Sam"/>
    <s v="Lewis"/>
    <s v="Sam Lewis"/>
    <d v="1953-03-26T00:00:00"/>
    <x v="3"/>
    <s v="SA-57684997"/>
    <n v="65"/>
    <x v="0"/>
    <x v="0"/>
    <n v="99231.28"/>
    <n v="81676.67"/>
    <n v="0.82310000000000005"/>
    <n v="45.36"/>
    <n v="70.23"/>
    <n v="52753.15"/>
    <n v="81676.67"/>
    <n v="28923.52"/>
    <x v="1"/>
    <x v="0"/>
  </r>
  <r>
    <s v="P0056"/>
    <s v="Jordan"/>
    <s v="Harris"/>
    <s v="Jordan Harris"/>
    <d v="1982-09-18T00:00:00"/>
    <x v="2"/>
    <s v="SA-28195996"/>
    <n v="349"/>
    <x v="1"/>
    <x v="1"/>
    <n v="123003.07"/>
    <n v="104351.67"/>
    <n v="0.84840000000000004"/>
    <n v="63.47"/>
    <n v="100.14"/>
    <n v="66139.41"/>
    <n v="104351.67"/>
    <n v="38212.26"/>
    <x v="1"/>
    <x v="0"/>
  </r>
  <r>
    <s v="P0057"/>
    <s v="Jamie"/>
    <s v="Wilson"/>
    <s v="Jamie Wilson"/>
    <d v="1981-09-24T00:00:00"/>
    <x v="1"/>
    <s v="SA-31774347"/>
    <n v="83"/>
    <x v="0"/>
    <x v="0"/>
    <n v="372582.08"/>
    <n v="388393.02"/>
    <n v="1.0424"/>
    <n v="45.36"/>
    <n v="70.23"/>
    <n v="250854.44"/>
    <n v="388393.02"/>
    <n v="137538.57999999999"/>
    <x v="0"/>
    <x v="0"/>
  </r>
  <r>
    <s v="P0058"/>
    <s v="Chris"/>
    <s v="Martinez"/>
    <s v="Chris Martinez"/>
    <d v="1952-03-23T00:00:00"/>
    <x v="0"/>
    <s v="SA-55259206"/>
    <n v="342"/>
    <x v="1"/>
    <x v="1"/>
    <n v="257027.47"/>
    <n v="272818.76"/>
    <n v="1.0613999999999999"/>
    <n v="63.47"/>
    <n v="100.14"/>
    <n v="172915.99"/>
    <n v="272818.76"/>
    <n v="99902.78"/>
    <x v="0"/>
    <x v="0"/>
  </r>
  <r>
    <s v="P0059"/>
    <s v="Jamie"/>
    <s v="White"/>
    <s v="Jamie White"/>
    <d v="1964-04-13T00:00:00"/>
    <x v="2"/>
    <s v="SA-05197529"/>
    <n v="240"/>
    <x v="1"/>
    <x v="1"/>
    <n v="323432.11"/>
    <n v="276848.51"/>
    <n v="0.85599999999999998"/>
    <n v="63.47"/>
    <n v="100.14"/>
    <n v="175470.09"/>
    <n v="276848.51"/>
    <n v="101378.42"/>
    <x v="1"/>
    <x v="0"/>
  </r>
  <r>
    <s v="P0060"/>
    <s v="Jamie"/>
    <s v="Thomas"/>
    <s v="Jamie Thomas"/>
    <d v="1991-04-19T00:00:00"/>
    <x v="3"/>
    <s v="SA-30547350"/>
    <n v="114"/>
    <x v="1"/>
    <x v="1"/>
    <n v="358098.01"/>
    <n v="344419.62"/>
    <n v="0.9618000000000001"/>
    <n v="63.47"/>
    <n v="100.14"/>
    <n v="218297.52"/>
    <n v="344419.62"/>
    <n v="126122.1"/>
    <x v="1"/>
    <x v="0"/>
  </r>
  <r>
    <s v="P0061"/>
    <s v="Alex"/>
    <s v="Thomas"/>
    <s v="Alex Thomas"/>
    <d v="1985-09-30T00:00:00"/>
    <x v="3"/>
    <s v="SA-09317496"/>
    <n v="142"/>
    <x v="1"/>
    <x v="1"/>
    <n v="324901.65999999997"/>
    <n v="347263.79"/>
    <n v="1.0688"/>
    <n v="63.47"/>
    <n v="100.14"/>
    <n v="220100.19"/>
    <n v="347263.79"/>
    <n v="127163.6"/>
    <x v="0"/>
    <x v="0"/>
  </r>
  <r>
    <s v="P0062"/>
    <s v="Avery"/>
    <s v="Rodriguez"/>
    <s v="Avery Rodriguez"/>
    <d v="1985-11-09T00:00:00"/>
    <x v="3"/>
    <s v="SA-15480908"/>
    <n v="133"/>
    <x v="0"/>
    <x v="0"/>
    <n v="134021.35999999999"/>
    <n v="111641.88"/>
    <n v="0.83299999999999996"/>
    <n v="45.36"/>
    <n v="70.23"/>
    <n v="72107.009999999995"/>
    <n v="111641.88"/>
    <n v="39534.86"/>
    <x v="1"/>
    <x v="0"/>
  </r>
  <r>
    <s v="P0063"/>
    <s v="Chris"/>
    <s v="Walker"/>
    <s v="Chris Walker"/>
    <d v="1973-10-25T00:00:00"/>
    <x v="2"/>
    <s v="SA-80070439"/>
    <n v="222"/>
    <x v="0"/>
    <x v="0"/>
    <n v="98894.71"/>
    <n v="91787.38"/>
    <n v="0.92810000000000004"/>
    <n v="45.36"/>
    <n v="70.23"/>
    <n v="59283.43"/>
    <n v="91787.38"/>
    <n v="32503.95"/>
    <x v="1"/>
    <x v="0"/>
  </r>
  <r>
    <s v="P0064"/>
    <s v="Avery"/>
    <s v="Martin"/>
    <s v="Avery Martin"/>
    <d v="1989-02-24T00:00:00"/>
    <x v="2"/>
    <s v="SA-77388338"/>
    <n v="97"/>
    <x v="1"/>
    <x v="1"/>
    <n v="329025.76"/>
    <n v="348181.37"/>
    <n v="1.0582"/>
    <n v="63.47"/>
    <n v="100.14"/>
    <n v="220681.76"/>
    <n v="348181.37"/>
    <n v="127499.61"/>
    <x v="0"/>
    <x v="0"/>
  </r>
  <r>
    <s v="P0065"/>
    <s v="Morgan"/>
    <s v="Johnson"/>
    <s v="Morgan Johnson"/>
    <d v="1989-02-13T00:00:00"/>
    <x v="2"/>
    <s v="SA-48884979"/>
    <n v="220"/>
    <x v="0"/>
    <x v="0"/>
    <n v="12711.33"/>
    <n v="12116.75"/>
    <n v="0.95319999999999994"/>
    <n v="45.36"/>
    <n v="70.23"/>
    <n v="7825.94"/>
    <n v="12116.75"/>
    <n v="4290.8100000000004"/>
    <x v="1"/>
    <x v="0"/>
  </r>
  <r>
    <s v="P0066"/>
    <s v="Taylor"/>
    <s v="Martin"/>
    <s v="Taylor Martin"/>
    <d v="2005-11-27T00:00:00"/>
    <x v="3"/>
    <s v="SA-96603782"/>
    <n v="153"/>
    <x v="0"/>
    <x v="0"/>
    <n v="172790.29"/>
    <n v="149745.65"/>
    <n v="0.86659999999999993"/>
    <n v="45.36"/>
    <n v="70.23"/>
    <n v="96717.4"/>
    <n v="149745.65"/>
    <n v="53028.26"/>
    <x v="1"/>
    <x v="0"/>
  </r>
  <r>
    <s v="P0067"/>
    <s v="Elliot"/>
    <s v="Harris"/>
    <s v="Elliot Harris"/>
    <d v="2009-10-30T00:00:00"/>
    <x v="1"/>
    <s v="SA-54009266"/>
    <n v="356"/>
    <x v="1"/>
    <x v="1"/>
    <n v="56747.49"/>
    <n v="51145.64"/>
    <n v="0.90129999999999999"/>
    <n v="63.47"/>
    <n v="100.14"/>
    <n v="32416.75"/>
    <n v="51145.64"/>
    <n v="18728.89"/>
    <x v="1"/>
    <x v="0"/>
  </r>
  <r>
    <s v="P0068"/>
    <s v="Riley"/>
    <s v="Lewis"/>
    <s v="Riley Lewis"/>
    <d v="1961-06-02T00:00:00"/>
    <x v="0"/>
    <s v="SA-89245318"/>
    <n v="194"/>
    <x v="1"/>
    <x v="1"/>
    <n v="377734.78"/>
    <n v="338813.32"/>
    <n v="0.89700000000000002"/>
    <n v="63.47"/>
    <n v="100.14"/>
    <n v="214744.18"/>
    <n v="338813.32"/>
    <n v="124069.15"/>
    <x v="1"/>
    <x v="0"/>
  </r>
  <r>
    <s v="P0069"/>
    <s v="Chris"/>
    <s v="Hall"/>
    <s v="Chris Hall"/>
    <d v="2001-01-21T00:00:00"/>
    <x v="3"/>
    <s v="SA-73542888"/>
    <n v="0"/>
    <x v="1"/>
    <x v="1"/>
    <n v="212328.34"/>
    <n v="214643.93"/>
    <n v="1.0109000000000001"/>
    <n v="63.47"/>
    <n v="100.14"/>
    <n v="136044.04"/>
    <n v="214643.93"/>
    <n v="78599.89"/>
    <x v="0"/>
    <x v="1"/>
  </r>
  <r>
    <s v="P0070"/>
    <s v="Riley"/>
    <s v="Harris"/>
    <s v="Riley Harris"/>
    <d v="1968-11-09T00:00:00"/>
    <x v="1"/>
    <s v="SA-62409659"/>
    <n v="226"/>
    <x v="1"/>
    <x v="1"/>
    <n v="151815.54"/>
    <n v="165711.92000000001"/>
    <n v="1.0915000000000001"/>
    <n v="63.47"/>
    <n v="100.14"/>
    <n v="105030.32"/>
    <n v="165711.92000000001"/>
    <n v="60681.61"/>
    <x v="0"/>
    <x v="0"/>
  </r>
  <r>
    <s v="P0071"/>
    <s v="Quinn"/>
    <s v="Thomas"/>
    <s v="Quinn Thomas"/>
    <d v="1995-11-11T00:00:00"/>
    <x v="1"/>
    <s v="SA-88429451"/>
    <n v="43"/>
    <x v="0"/>
    <x v="0"/>
    <n v="385354.45"/>
    <n v="337391.18"/>
    <n v="0.87549999999999994"/>
    <n v="45.36"/>
    <n v="70.23"/>
    <n v="217913.49"/>
    <n v="337391.18"/>
    <n v="119477.7"/>
    <x v="1"/>
    <x v="0"/>
  </r>
  <r>
    <s v="P0072"/>
    <s v="Riley"/>
    <s v="Rodriguez"/>
    <s v="Riley Rodriguez"/>
    <d v="2009-07-23T00:00:00"/>
    <x v="3"/>
    <s v="SA-31523530"/>
    <n v="344"/>
    <x v="0"/>
    <x v="0"/>
    <n v="203926.92"/>
    <n v="181548.69"/>
    <n v="0.89029999999999998"/>
    <n v="45.36"/>
    <n v="70.23"/>
    <n v="117258.27"/>
    <n v="181548.69"/>
    <n v="64290.42"/>
    <x v="1"/>
    <x v="0"/>
  </r>
  <r>
    <s v="P0073"/>
    <s v="Riley"/>
    <s v="Jackson"/>
    <s v="Riley Jackson"/>
    <d v="1967-11-13T00:00:00"/>
    <x v="0"/>
    <s v="SA-06202701"/>
    <n v="125"/>
    <x v="0"/>
    <x v="0"/>
    <n v="121087.79"/>
    <n v="98210.2"/>
    <n v="0.81110000000000004"/>
    <n v="45.36"/>
    <n v="70.23"/>
    <n v="63431.79"/>
    <n v="98210.2"/>
    <n v="34778.410000000003"/>
    <x v="1"/>
    <x v="0"/>
  </r>
  <r>
    <s v="P0074"/>
    <s v="Finley"/>
    <s v="Hall"/>
    <s v="Finley Hall"/>
    <d v="1956-07-14T00:00:00"/>
    <x v="1"/>
    <s v="SA-84525679"/>
    <n v="294"/>
    <x v="1"/>
    <x v="1"/>
    <n v="247730.09"/>
    <n v="235542.69"/>
    <n v="0.95079999999999998"/>
    <n v="63.47"/>
    <n v="100.14"/>
    <n v="149289.94"/>
    <n v="235542.69"/>
    <n v="86252.75"/>
    <x v="1"/>
    <x v="0"/>
  </r>
  <r>
    <s v="P0075"/>
    <s v="Pat"/>
    <s v="Garcia"/>
    <s v="Pat Garcia"/>
    <d v="1994-05-09T00:00:00"/>
    <x v="1"/>
    <s v="SA-19806691"/>
    <n v="335"/>
    <x v="0"/>
    <x v="0"/>
    <n v="30076.71"/>
    <n v="26575.599999999999"/>
    <n v="0.88359999999999994"/>
    <n v="45.36"/>
    <n v="70.23"/>
    <n v="17164.59"/>
    <n v="26575.599999999999"/>
    <n v="9411.01"/>
    <x v="1"/>
    <x v="0"/>
  </r>
  <r>
    <s v="P0076"/>
    <s v="Alex"/>
    <s v="Wilson"/>
    <s v="Alex Wilson"/>
    <d v="1988-02-22T00:00:00"/>
    <x v="0"/>
    <s v="SA-93403698"/>
    <n v="265"/>
    <x v="0"/>
    <x v="0"/>
    <n v="364223.7"/>
    <n v="317555.19"/>
    <n v="0.87190000000000001"/>
    <n v="45.36"/>
    <n v="70.23"/>
    <n v="205101.86"/>
    <n v="317555.19"/>
    <n v="112453.33"/>
    <x v="1"/>
    <x v="0"/>
  </r>
  <r>
    <s v="P0077"/>
    <s v="Quinn"/>
    <s v="Johnson"/>
    <s v="Quinn Johnson"/>
    <d v="2000-01-04T00:00:00"/>
    <x v="0"/>
    <s v="SA-61265270"/>
    <n v="68"/>
    <x v="0"/>
    <x v="0"/>
    <n v="66509"/>
    <n v="62973.1"/>
    <n v="0.94680000000000009"/>
    <n v="45.36"/>
    <n v="70.23"/>
    <n v="40672.93"/>
    <n v="62973.1"/>
    <n v="22300.17"/>
    <x v="1"/>
    <x v="0"/>
  </r>
  <r>
    <s v="P0078"/>
    <s v="Quinn"/>
    <s v="Rodriguez"/>
    <s v="Quinn Rodriguez"/>
    <d v="2000-02-22T00:00:00"/>
    <x v="3"/>
    <s v="SA-82228803"/>
    <n v="258"/>
    <x v="1"/>
    <x v="1"/>
    <n v="394403.68"/>
    <n v="344163.19"/>
    <n v="0.87260000000000004"/>
    <n v="63.47"/>
    <n v="100.14"/>
    <n v="218134.99"/>
    <n v="344163.19"/>
    <n v="126028.2"/>
    <x v="1"/>
    <x v="0"/>
  </r>
  <r>
    <s v="P0079"/>
    <s v="Charlie"/>
    <s v="Lewis"/>
    <s v="Charlie Lewis"/>
    <d v="1990-01-02T00:00:00"/>
    <x v="0"/>
    <s v="SA-60407341"/>
    <n v="132"/>
    <x v="1"/>
    <x v="1"/>
    <n v="272132.86"/>
    <n v="279884.81"/>
    <n v="1.0285"/>
    <n v="63.47"/>
    <n v="100.14"/>
    <n v="177394.54"/>
    <n v="279884.81"/>
    <n v="102490.27"/>
    <x v="0"/>
    <x v="0"/>
  </r>
  <r>
    <s v="P0080"/>
    <s v="Jamie"/>
    <s v="White"/>
    <s v="Jamie White"/>
    <d v="1996-10-07T00:00:00"/>
    <x v="1"/>
    <s v="SA-36855846"/>
    <n v="225"/>
    <x v="0"/>
    <x v="0"/>
    <n v="102678.64"/>
    <n v="104574.59"/>
    <n v="1.0185"/>
    <n v="45.36"/>
    <n v="70.23"/>
    <n v="67542.41"/>
    <n v="104574.59"/>
    <n v="37032.18"/>
    <x v="0"/>
    <x v="0"/>
  </r>
  <r>
    <s v="P0081"/>
    <s v="Taylor"/>
    <s v="Harris"/>
    <s v="Taylor Harris"/>
    <d v="1971-01-14T00:00:00"/>
    <x v="3"/>
    <s v="SA-42910692"/>
    <n v="276"/>
    <x v="1"/>
    <x v="1"/>
    <n v="153435.42000000001"/>
    <n v="151853.76999999999"/>
    <n v="0.98970000000000002"/>
    <n v="63.47"/>
    <n v="100.14"/>
    <n v="96246.84"/>
    <n v="151853.76999999999"/>
    <n v="55606.93"/>
    <x v="1"/>
    <x v="0"/>
  </r>
  <r>
    <s v="P0082"/>
    <s v="Taylor"/>
    <s v="Taylor"/>
    <s v="Taylor Taylor"/>
    <d v="1963-07-14T00:00:00"/>
    <x v="0"/>
    <s v="SA-93140368"/>
    <n v="78"/>
    <x v="1"/>
    <x v="1"/>
    <n v="257076.59"/>
    <n v="246981.81"/>
    <n v="0.96069999999999989"/>
    <n v="63.47"/>
    <n v="100.14"/>
    <n v="156540.20000000001"/>
    <n v="246981.81"/>
    <n v="90441.61"/>
    <x v="1"/>
    <x v="0"/>
  </r>
  <r>
    <s v="P0083"/>
    <s v="Pat"/>
    <s v="Brown"/>
    <s v="Pat Brown"/>
    <d v="1987-03-22T00:00:00"/>
    <x v="1"/>
    <s v="SA-72828035"/>
    <n v="238"/>
    <x v="1"/>
    <x v="1"/>
    <n v="45213.01"/>
    <n v="47500.37"/>
    <n v="1.0506"/>
    <n v="63.47"/>
    <n v="100.14"/>
    <n v="30106.34"/>
    <n v="47500.37"/>
    <n v="17394.03"/>
    <x v="0"/>
    <x v="0"/>
  </r>
  <r>
    <s v="P0084"/>
    <s v="Charlie"/>
    <s v="Johnson"/>
    <s v="Charlie Johnson"/>
    <d v="1968-07-22T00:00:00"/>
    <x v="1"/>
    <s v="SA-78393812"/>
    <n v="356"/>
    <x v="1"/>
    <x v="1"/>
    <n v="135104.23000000001"/>
    <n v="115643.21"/>
    <n v="0.85599999999999998"/>
    <n v="63.47"/>
    <n v="100.14"/>
    <n v="73296.13"/>
    <n v="115643.21"/>
    <n v="42347.08"/>
    <x v="1"/>
    <x v="0"/>
  </r>
  <r>
    <s v="P0085"/>
    <s v="Alex"/>
    <s v="Walker"/>
    <s v="Alex Walker"/>
    <d v="1984-02-16T00:00:00"/>
    <x v="1"/>
    <s v="SA-47212268"/>
    <n v="152"/>
    <x v="0"/>
    <x v="0"/>
    <n v="25902.31"/>
    <n v="25313.49"/>
    <n v="0.97730000000000006"/>
    <n v="45.36"/>
    <n v="70.23"/>
    <n v="16349.42"/>
    <n v="25313.49"/>
    <n v="8964.07"/>
    <x v="1"/>
    <x v="0"/>
  </r>
  <r>
    <s v="P0086"/>
    <s v="Harper"/>
    <s v="Martinez"/>
    <s v="Harper Martinez"/>
    <d v="1998-04-15T00:00:00"/>
    <x v="0"/>
    <s v="SA-29450274"/>
    <n v="139"/>
    <x v="1"/>
    <x v="1"/>
    <n v="274250.09999999998"/>
    <n v="220764.85"/>
    <n v="0.80500000000000005"/>
    <n v="63.47"/>
    <n v="100.14"/>
    <n v="139923.54999999999"/>
    <n v="220764.85"/>
    <n v="80841.289999999994"/>
    <x v="1"/>
    <x v="0"/>
  </r>
  <r>
    <s v="P0087"/>
    <s v="Charlie"/>
    <s v="Clark"/>
    <s v="Charlie Clark"/>
    <d v="1952-08-09T00:00:00"/>
    <x v="1"/>
    <s v="SA-89774698"/>
    <n v="347"/>
    <x v="1"/>
    <x v="1"/>
    <n v="209716.29"/>
    <n v="182022.99"/>
    <n v="0.86790000000000012"/>
    <n v="63.47"/>
    <n v="100.14"/>
    <n v="115368.48"/>
    <n v="182022.99"/>
    <n v="66654.509999999995"/>
    <x v="1"/>
    <x v="0"/>
  </r>
  <r>
    <s v="P0088"/>
    <s v="Harper"/>
    <s v="Anderson"/>
    <s v="Harper Anderson"/>
    <d v="1991-12-07T00:00:00"/>
    <x v="0"/>
    <s v="SA-52884504"/>
    <n v="303"/>
    <x v="0"/>
    <x v="0"/>
    <n v="261617.39"/>
    <n v="222979.1"/>
    <n v="0.85230000000000006"/>
    <n v="45.36"/>
    <n v="70.23"/>
    <n v="144017.26"/>
    <n v="222979.1"/>
    <n v="78961.84"/>
    <x v="1"/>
    <x v="0"/>
  </r>
  <r>
    <s v="P0089"/>
    <s v="Rowan"/>
    <s v="Smith"/>
    <s v="Rowan Smith"/>
    <d v="1957-07-13T00:00:00"/>
    <x v="1"/>
    <s v="SA-61968117"/>
    <n v="93"/>
    <x v="0"/>
    <x v="0"/>
    <n v="279465.71999999997"/>
    <n v="255996.36"/>
    <n v="0.91599999999999993"/>
    <n v="45.36"/>
    <n v="70.23"/>
    <n v="165342.37"/>
    <n v="255996.36"/>
    <n v="90653.98"/>
    <x v="1"/>
    <x v="0"/>
  </r>
  <r>
    <s v="P0090"/>
    <s v="Jordan"/>
    <s v="White"/>
    <s v="Jordan White"/>
    <d v="1984-01-05T00:00:00"/>
    <x v="3"/>
    <s v="SA-61028711"/>
    <n v="167"/>
    <x v="0"/>
    <x v="0"/>
    <n v="375324.7"/>
    <n v="315744.26"/>
    <n v="0.84129999999999994"/>
    <n v="45.36"/>
    <n v="70.23"/>
    <n v="203932.22"/>
    <n v="315744.26"/>
    <n v="111812.04"/>
    <x v="1"/>
    <x v="0"/>
  </r>
  <r>
    <s v="P0091"/>
    <s v="Logan"/>
    <s v="Garcia"/>
    <s v="Logan Garcia"/>
    <d v="1974-12-18T00:00:00"/>
    <x v="1"/>
    <s v="SA-10993269"/>
    <n v="240"/>
    <x v="1"/>
    <x v="1"/>
    <n v="143015.88"/>
    <n v="119281.26"/>
    <n v="0.83400000000000007"/>
    <n v="63.47"/>
    <n v="100.14"/>
    <n v="75601.97"/>
    <n v="119281.26"/>
    <n v="43679.29"/>
    <x v="1"/>
    <x v="0"/>
  </r>
  <r>
    <s v="P0092"/>
    <s v="Alex"/>
    <s v="Lewis"/>
    <s v="Alex Lewis"/>
    <d v="1954-09-03T00:00:00"/>
    <x v="3"/>
    <s v="SA-87260864"/>
    <n v="35"/>
    <x v="0"/>
    <x v="0"/>
    <n v="370630.51"/>
    <n v="394055.03"/>
    <n v="1.0631999999999999"/>
    <n v="45.36"/>
    <n v="70.23"/>
    <n v="254511.41"/>
    <n v="394055.03"/>
    <n v="139543.62"/>
    <x v="0"/>
    <x v="0"/>
  </r>
  <r>
    <s v="P0093"/>
    <s v="Jordan"/>
    <s v="Smith"/>
    <s v="Jordan Smith"/>
    <d v="1972-03-08T00:00:00"/>
    <x v="0"/>
    <s v="SA-83394261"/>
    <n v="78"/>
    <x v="0"/>
    <x v="0"/>
    <n v="110597.23"/>
    <n v="110375.51"/>
    <n v="0.998"/>
    <n v="45.36"/>
    <n v="70.23"/>
    <n v="71289.100000000006"/>
    <n v="110375.51"/>
    <n v="39086.42"/>
    <x v="1"/>
    <x v="0"/>
  </r>
  <r>
    <s v="P0094"/>
    <s v="Jamie"/>
    <s v="Taylor"/>
    <s v="Jamie Taylor"/>
    <d v="1992-06-26T00:00:00"/>
    <x v="2"/>
    <s v="SA-62415805"/>
    <n v="358"/>
    <x v="0"/>
    <x v="0"/>
    <n v="328716.65999999997"/>
    <n v="317724.45"/>
    <n v="0.96660000000000001"/>
    <n v="45.36"/>
    <n v="70.23"/>
    <n v="205211.18"/>
    <n v="317724.45"/>
    <n v="112513.27"/>
    <x v="1"/>
    <x v="0"/>
  </r>
  <r>
    <s v="P0095"/>
    <s v="Morgan"/>
    <s v="Thompson"/>
    <s v="Morgan Thompson"/>
    <d v="1965-01-20T00:00:00"/>
    <x v="2"/>
    <s v="SA-41746938"/>
    <n v="55"/>
    <x v="0"/>
    <x v="0"/>
    <n v="216563.73"/>
    <n v="188963.91"/>
    <n v="0.87260000000000004"/>
    <n v="45.36"/>
    <n v="70.23"/>
    <n v="122047.6"/>
    <n v="188963.91"/>
    <n v="66916.31"/>
    <x v="1"/>
    <x v="0"/>
  </r>
  <r>
    <s v="P0096"/>
    <s v="Rowan"/>
    <s v="Smith"/>
    <s v="Rowan Smith"/>
    <d v="1977-12-27T00:00:00"/>
    <x v="1"/>
    <s v="SA-95967650"/>
    <n v="101"/>
    <x v="1"/>
    <x v="1"/>
    <n v="46310.080000000002"/>
    <n v="49513.1"/>
    <n v="1.0691999999999999"/>
    <n v="63.47"/>
    <n v="100.14"/>
    <n v="31382.03"/>
    <n v="49513.1"/>
    <n v="18131.07"/>
    <x v="0"/>
    <x v="0"/>
  </r>
  <r>
    <s v="P0097"/>
    <s v="Taylor"/>
    <s v="Walker"/>
    <s v="Taylor Walker"/>
    <d v="2006-04-10T00:00:00"/>
    <x v="0"/>
    <s v="SA-93575661"/>
    <n v="154"/>
    <x v="0"/>
    <x v="0"/>
    <n v="361163.04"/>
    <n v="357526.29"/>
    <n v="0.9899"/>
    <n v="45.36"/>
    <n v="70.23"/>
    <n v="230918.3"/>
    <n v="357526.29"/>
    <n v="126607.99"/>
    <x v="1"/>
    <x v="0"/>
  </r>
  <r>
    <s v="P0098"/>
    <s v="Drew"/>
    <s v="Wilson"/>
    <s v="Drew Wilson"/>
    <d v="2000-10-09T00:00:00"/>
    <x v="2"/>
    <s v="SA-71503857"/>
    <n v="219"/>
    <x v="1"/>
    <x v="1"/>
    <n v="142221.62"/>
    <n v="128676.84"/>
    <n v="0.90480000000000005"/>
    <n v="63.47"/>
    <n v="100.14"/>
    <n v="81557.009999999995"/>
    <n v="128676.84"/>
    <n v="47119.83"/>
    <x v="1"/>
    <x v="0"/>
  </r>
  <r>
    <s v="P0099"/>
    <s v="Avery"/>
    <s v="Brown"/>
    <s v="Avery Brown"/>
    <d v="1995-05-24T00:00:00"/>
    <x v="3"/>
    <s v="SA-56379330"/>
    <n v="250"/>
    <x v="0"/>
    <x v="0"/>
    <n v="293122.71000000002"/>
    <n v="313387.19"/>
    <n v="1.0690999999999999"/>
    <n v="45.36"/>
    <n v="70.23"/>
    <n v="202409.84"/>
    <n v="313387.19"/>
    <n v="110977.35"/>
    <x v="0"/>
    <x v="0"/>
  </r>
  <r>
    <s v="P0100"/>
    <s v="Casey"/>
    <s v="Martinez"/>
    <s v="Casey Martinez"/>
    <d v="1982-06-30T00:00:00"/>
    <x v="1"/>
    <s v="SA-58450096"/>
    <n v="90"/>
    <x v="0"/>
    <x v="0"/>
    <n v="355963.71"/>
    <n v="368053.18"/>
    <n v="1.034"/>
    <n v="45.36"/>
    <n v="70.23"/>
    <n v="237717.39"/>
    <n v="368053.18"/>
    <n v="130335.79"/>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113E23-3FA0-4CB1-91D6-2775C54214EE}"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1:D23" firstHeaderRow="0" firstDataRow="1" firstDataCol="1" rowPageCount="1" colPageCount="1"/>
  <pivotFields count="20">
    <pivotField showAll="0"/>
    <pivotField showAll="0"/>
    <pivotField showAll="0"/>
    <pivotField showAll="0"/>
    <pivotField numFmtId="14" showAll="0"/>
    <pivotField axis="axisPage" showAll="0">
      <items count="5">
        <item x="0"/>
        <item x="3"/>
        <item x="2"/>
        <item x="1"/>
        <item t="default"/>
      </items>
    </pivotField>
    <pivotField showAll="0"/>
    <pivotField numFmtId="1" showAll="0"/>
    <pivotField showAll="0">
      <items count="3">
        <item x="0"/>
        <item x="1"/>
        <item t="default"/>
      </items>
    </pivotField>
    <pivotField axis="axisRow" showAll="0">
      <items count="3">
        <item h="1" x="0"/>
        <item x="1"/>
        <item t="default"/>
      </items>
    </pivotField>
    <pivotField numFmtId="8" showAll="0"/>
    <pivotField numFmtId="8" showAll="0"/>
    <pivotField numFmtId="164" showAll="0"/>
    <pivotField numFmtId="165" showAll="0"/>
    <pivotField numFmtId="165" showAll="0"/>
    <pivotField dataField="1" numFmtId="165" showAll="0"/>
    <pivotField dataField="1" numFmtId="165" showAll="0"/>
    <pivotField dataField="1" numFmtId="165" showAll="0"/>
    <pivotField showAll="0"/>
    <pivotField showAll="0"/>
  </pivotFields>
  <rowFields count="1">
    <field x="9"/>
  </rowFields>
  <rowItems count="2">
    <i>
      <x v="1"/>
    </i>
    <i t="grand">
      <x/>
    </i>
  </rowItems>
  <colFields count="1">
    <field x="-2"/>
  </colFields>
  <colItems count="3">
    <i>
      <x/>
    </i>
    <i i="1">
      <x v="1"/>
    </i>
    <i i="2">
      <x v="2"/>
    </i>
  </colItems>
  <pageFields count="1">
    <pageField fld="5" hier="-1"/>
  </pageFields>
  <dataFields count="3">
    <dataField name="Total Revenue" fld="16" baseField="7" baseItem="0" numFmtId="165"/>
    <dataField name="Total Cost" fld="15" baseField="7" baseItem="0" numFmtId="165"/>
    <dataField name="Profit Margin" fld="17" baseField="7" baseItem="0" numFmtId="165"/>
  </dataFields>
  <chartFormats count="10">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4" format="14" series="1">
      <pivotArea type="data" outline="0" fieldPosition="0">
        <references count="1">
          <reference field="4294967294" count="1" selected="0">
            <x v="0"/>
          </reference>
        </references>
      </pivotArea>
    </chartFormat>
    <chartFormat chart="4" format="15" series="1">
      <pivotArea type="data" outline="0" fieldPosition="0">
        <references count="1">
          <reference field="4294967294" count="1" selected="0">
            <x v="1"/>
          </reference>
        </references>
      </pivotArea>
    </chartFormat>
    <chartFormat chart="4" format="16" series="1">
      <pivotArea type="data" outline="0" fieldPosition="0">
        <references count="1">
          <reference field="4294967294" count="1" selected="0">
            <x v="2"/>
          </reference>
        </references>
      </pivotArea>
    </chartFormat>
    <chartFormat chart="4" format="17">
      <pivotArea type="data" outline="0" fieldPosition="0">
        <references count="2">
          <reference field="4294967294" count="1" selected="0">
            <x v="1"/>
          </reference>
          <reference field="9" count="1" selected="0">
            <x v="0"/>
          </reference>
        </references>
      </pivotArea>
    </chartFormat>
    <chartFormat chart="4" format="18">
      <pivotArea type="data" outline="0" fieldPosition="0">
        <references count="2">
          <reference field="4294967294" count="1" selected="0">
            <x v="1"/>
          </reference>
          <reference field="9" count="1" selected="0">
            <x v="1"/>
          </reference>
        </references>
      </pivotArea>
    </chartFormat>
    <chartFormat chart="4" format="19">
      <pivotArea type="data" outline="0" fieldPosition="0">
        <references count="2">
          <reference field="4294967294" count="1" selected="0">
            <x v="2"/>
          </reference>
          <reference field="9" count="1" selected="0">
            <x v="1"/>
          </reference>
        </references>
      </pivotArea>
    </chartFormat>
    <chartFormat chart="4" format="20">
      <pivotArea type="data" outline="0" fieldPosition="0">
        <references count="2">
          <reference field="4294967294" count="1" selected="0">
            <x v="2"/>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23A9E2-2045-4656-BEAD-92865A48E066}"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Region">
  <location ref="A12:B17" firstHeaderRow="1" firstDataRow="1" firstDataCol="1" rowPageCount="1" colPageCount="1"/>
  <pivotFields count="20">
    <pivotField showAll="0"/>
    <pivotField showAll="0"/>
    <pivotField showAll="0"/>
    <pivotField showAll="0"/>
    <pivotField numFmtId="14" showAll="0"/>
    <pivotField axis="axisRow" showAll="0" sortType="descending">
      <items count="5">
        <item x="0"/>
        <item x="3"/>
        <item x="2"/>
        <item x="1"/>
        <item t="default"/>
      </items>
      <autoSortScope>
        <pivotArea dataOnly="0" outline="0" fieldPosition="0">
          <references count="1">
            <reference field="4294967294" count="1" selected="0">
              <x v="0"/>
            </reference>
          </references>
        </pivotArea>
      </autoSortScope>
    </pivotField>
    <pivotField showAll="0"/>
    <pivotField numFmtId="1" showAll="0"/>
    <pivotField showAll="0">
      <items count="3">
        <item x="0"/>
        <item x="1"/>
        <item t="default"/>
      </items>
    </pivotField>
    <pivotField axis="axisPage" showAll="0">
      <items count="3">
        <item x="0"/>
        <item x="1"/>
        <item t="default"/>
      </items>
    </pivotField>
    <pivotField numFmtId="8" showAll="0"/>
    <pivotField numFmtId="8" showAll="0"/>
    <pivotField dataField="1" numFmtId="164" showAll="0"/>
    <pivotField numFmtId="165" showAll="0"/>
    <pivotField numFmtId="165" showAll="0"/>
    <pivotField numFmtId="165" showAll="0"/>
    <pivotField numFmtId="165" showAll="0"/>
    <pivotField numFmtId="165" showAll="0"/>
    <pivotField showAll="0"/>
    <pivotField showAll="0"/>
  </pivotFields>
  <rowFields count="1">
    <field x="5"/>
  </rowFields>
  <rowItems count="5">
    <i>
      <x v="1"/>
    </i>
    <i>
      <x v="3"/>
    </i>
    <i>
      <x/>
    </i>
    <i>
      <x v="2"/>
    </i>
    <i t="grand">
      <x/>
    </i>
  </rowItems>
  <colItems count="1">
    <i/>
  </colItems>
  <pageFields count="1">
    <pageField fld="9" item="1" hier="-1"/>
  </pageFields>
  <dataFields count="1">
    <dataField name="Utilisation %" fld="12" subtotal="average" baseField="4" baseItem="3" numFmtId="164"/>
  </dataFields>
  <formats count="1">
    <format dxfId="75">
      <pivotArea outline="0" collapsedLevelsAreSubtotals="1" fieldPosition="0"/>
    </format>
  </formats>
  <chartFormats count="2">
    <chartFormat chart="6"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E02BD8-BA76-4B8E-83F2-9A4949B97633}"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Region">
  <location ref="A3:B8" firstHeaderRow="1" firstDataRow="1" firstDataCol="1" rowPageCount="1" colPageCount="1"/>
  <pivotFields count="20">
    <pivotField showAll="0"/>
    <pivotField showAll="0"/>
    <pivotField showAll="0"/>
    <pivotField showAll="0"/>
    <pivotField numFmtId="14" showAll="0"/>
    <pivotField axis="axisRow" showAll="0" sortType="descending">
      <items count="5">
        <item x="0"/>
        <item x="3"/>
        <item x="2"/>
        <item x="1"/>
        <item t="default"/>
      </items>
      <autoSortScope>
        <pivotArea dataOnly="0" outline="0" fieldPosition="0">
          <references count="1">
            <reference field="4294967294" count="1" selected="0">
              <x v="0"/>
            </reference>
          </references>
        </pivotArea>
      </autoSortScope>
    </pivotField>
    <pivotField showAll="0"/>
    <pivotField numFmtId="1" showAll="0"/>
    <pivotField showAll="0">
      <items count="3">
        <item x="0"/>
        <item x="1"/>
        <item t="default"/>
      </items>
    </pivotField>
    <pivotField axis="axisPage" showAll="0">
      <items count="3">
        <item x="0"/>
        <item x="1"/>
        <item t="default"/>
      </items>
    </pivotField>
    <pivotField numFmtId="8" showAll="0"/>
    <pivotField dataField="1" numFmtId="8" showAll="0"/>
    <pivotField numFmtId="164" showAll="0"/>
    <pivotField numFmtId="165" showAll="0"/>
    <pivotField numFmtId="165" showAll="0"/>
    <pivotField numFmtId="165" showAll="0"/>
    <pivotField numFmtId="165" showAll="0"/>
    <pivotField numFmtId="165" showAll="0"/>
    <pivotField showAll="0"/>
    <pivotField showAll="0"/>
  </pivotFields>
  <rowFields count="1">
    <field x="5"/>
  </rowFields>
  <rowItems count="5">
    <i>
      <x v="1"/>
    </i>
    <i>
      <x/>
    </i>
    <i>
      <x v="2"/>
    </i>
    <i>
      <x v="3"/>
    </i>
    <i t="grand">
      <x/>
    </i>
  </rowItems>
  <colItems count="1">
    <i/>
  </colItems>
  <pageFields count="1">
    <pageField fld="9" item="1" hier="-1"/>
  </pageFields>
  <dataFields count="1">
    <dataField name="Total Delivered" fld="11" baseField="0" baseItem="0" numFmtId="8"/>
  </dataFields>
  <chartFormats count="4">
    <chartFormat chart="4"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5" count="1" selected="0">
            <x v="1"/>
          </reference>
        </references>
      </pivotArea>
    </chartFormat>
    <chartFormat chart="10" format="6">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16913B-23EA-43D3-838E-D2C6889E5BDD}" name="PivotTable1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colHeaderCaption="SLA Status">
  <location ref="A38:E44" firstHeaderRow="1" firstDataRow="2" firstDataCol="1"/>
  <pivotFields count="20">
    <pivotField dataField="1" showAll="0"/>
    <pivotField showAll="0"/>
    <pivotField showAll="0"/>
    <pivotField showAll="0"/>
    <pivotField numFmtId="14" showAll="0"/>
    <pivotField axis="axisRow" showAll="0">
      <items count="5">
        <item sd="0" x="0"/>
        <item sd="0" x="3"/>
        <item sd="0" x="2"/>
        <item sd="0" x="1"/>
        <item t="default"/>
      </items>
    </pivotField>
    <pivotField showAll="0"/>
    <pivotField numFmtId="1" showAll="0"/>
    <pivotField showAll="0">
      <items count="3">
        <item x="0"/>
        <item x="1"/>
        <item t="default"/>
      </items>
    </pivotField>
    <pivotField showAll="0">
      <items count="3">
        <item h="1" x="0"/>
        <item x="1"/>
        <item t="default"/>
      </items>
    </pivotField>
    <pivotField numFmtId="8" showAll="0"/>
    <pivotField numFmtId="8" showAll="0"/>
    <pivotField numFmtId="164" showAll="0"/>
    <pivotField numFmtId="165" showAll="0"/>
    <pivotField numFmtId="165" showAll="0"/>
    <pivotField numFmtId="165" showAll="0"/>
    <pivotField numFmtId="165" showAll="0"/>
    <pivotField numFmtId="165" showAll="0"/>
    <pivotField showAll="0"/>
    <pivotField axis="axisCol" showAll="0">
      <items count="4">
        <item x="1"/>
        <item x="2"/>
        <item x="0"/>
        <item t="default"/>
      </items>
    </pivotField>
  </pivotFields>
  <rowFields count="1">
    <field x="5"/>
  </rowFields>
  <rowItems count="5">
    <i>
      <x/>
    </i>
    <i>
      <x v="1"/>
    </i>
    <i>
      <x v="2"/>
    </i>
    <i>
      <x v="3"/>
    </i>
    <i t="grand">
      <x/>
    </i>
  </rowItems>
  <colFields count="1">
    <field x="19"/>
  </colFields>
  <colItems count="4">
    <i>
      <x/>
    </i>
    <i>
      <x v="1"/>
    </i>
    <i>
      <x v="2"/>
    </i>
    <i t="grand">
      <x/>
    </i>
  </colItems>
  <dataFields count="1">
    <dataField name="Participants" fld="0" subtotal="count" baseField="0" baseItem="0"/>
  </dataFields>
  <formats count="2">
    <format dxfId="77">
      <pivotArea collapsedLevelsAreSubtotals="1" fieldPosition="0">
        <references count="1">
          <reference field="5" count="0"/>
        </references>
      </pivotArea>
    </format>
    <format dxfId="76">
      <pivotArea grandRow="1" outline="0" collapsedLevelsAreSubtotals="1" fieldPosition="0"/>
    </format>
  </formats>
  <chartFormats count="9">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 chart="0" format="2" series="1">
      <pivotArea type="data" outline="0" fieldPosition="0">
        <references count="2">
          <reference field="4294967294" count="1" selected="0">
            <x v="0"/>
          </reference>
          <reference field="19" count="1" selected="0">
            <x v="2"/>
          </reference>
        </references>
      </pivotArea>
    </chartFormat>
    <chartFormat chart="3" format="6" series="1">
      <pivotArea type="data" outline="0" fieldPosition="0">
        <references count="2">
          <reference field="4294967294" count="1" selected="0">
            <x v="0"/>
          </reference>
          <reference field="19" count="1" selected="0">
            <x v="0"/>
          </reference>
        </references>
      </pivotArea>
    </chartFormat>
    <chartFormat chart="3" format="7" series="1">
      <pivotArea type="data" outline="0" fieldPosition="0">
        <references count="2">
          <reference field="4294967294" count="1" selected="0">
            <x v="0"/>
          </reference>
          <reference field="19" count="1" selected="0">
            <x v="1"/>
          </reference>
        </references>
      </pivotArea>
    </chartFormat>
    <chartFormat chart="3" format="8" series="1">
      <pivotArea type="data" outline="0" fieldPosition="0">
        <references count="2">
          <reference field="4294967294" count="1" selected="0">
            <x v="0"/>
          </reference>
          <reference field="19" count="1" selected="0">
            <x v="2"/>
          </reference>
        </references>
      </pivotArea>
    </chartFormat>
    <chartFormat chart="5" format="12" series="1">
      <pivotArea type="data" outline="0" fieldPosition="0">
        <references count="2">
          <reference field="4294967294" count="1" selected="0">
            <x v="0"/>
          </reference>
          <reference field="19" count="1" selected="0">
            <x v="0"/>
          </reference>
        </references>
      </pivotArea>
    </chartFormat>
    <chartFormat chart="5" format="13" series="1">
      <pivotArea type="data" outline="0" fieldPosition="0">
        <references count="2">
          <reference field="4294967294" count="1" selected="0">
            <x v="0"/>
          </reference>
          <reference field="19" count="1" selected="0">
            <x v="1"/>
          </reference>
        </references>
      </pivotArea>
    </chartFormat>
    <chartFormat chart="5" format="14" series="1">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DBBA68-8A5E-47AE-B987-29D3049F5B4E}" name="PivotTable1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colHeaderCaption="Budget">
  <location ref="A28:D34" firstHeaderRow="1" firstDataRow="2" firstDataCol="1" rowPageCount="1" colPageCount="1"/>
  <pivotFields count="20">
    <pivotField dataField="1" showAll="0"/>
    <pivotField showAll="0"/>
    <pivotField showAll="0"/>
    <pivotField showAll="0"/>
    <pivotField numFmtId="14" showAll="0"/>
    <pivotField axis="axisRow" showAll="0">
      <items count="5">
        <item x="0"/>
        <item x="3"/>
        <item x="2"/>
        <item x="1"/>
        <item t="default"/>
      </items>
    </pivotField>
    <pivotField showAll="0"/>
    <pivotField numFmtId="1" showAll="0"/>
    <pivotField showAll="0">
      <items count="3">
        <item x="0"/>
        <item x="1"/>
        <item t="default"/>
      </items>
    </pivotField>
    <pivotField axis="axisPage" showAll="0">
      <items count="3">
        <item x="0"/>
        <item x="1"/>
        <item t="default"/>
      </items>
    </pivotField>
    <pivotField numFmtId="8" showAll="0"/>
    <pivotField numFmtId="8" showAll="0"/>
    <pivotField numFmtId="164" showAll="0"/>
    <pivotField numFmtId="165" showAll="0"/>
    <pivotField numFmtId="165" showAll="0"/>
    <pivotField numFmtId="165" showAll="0"/>
    <pivotField numFmtId="165" showAll="0"/>
    <pivotField numFmtId="165" showAll="0"/>
    <pivotField axis="axisCol" showAll="0">
      <items count="3">
        <item x="0"/>
        <item x="1"/>
        <item t="default"/>
      </items>
    </pivotField>
    <pivotField showAll="0"/>
  </pivotFields>
  <rowFields count="1">
    <field x="5"/>
  </rowFields>
  <rowItems count="5">
    <i>
      <x/>
    </i>
    <i>
      <x v="1"/>
    </i>
    <i>
      <x v="2"/>
    </i>
    <i>
      <x v="3"/>
    </i>
    <i t="grand">
      <x/>
    </i>
  </rowItems>
  <colFields count="1">
    <field x="18"/>
  </colFields>
  <colItems count="3">
    <i>
      <x/>
    </i>
    <i>
      <x v="1"/>
    </i>
    <i t="grand">
      <x/>
    </i>
  </colItems>
  <pageFields count="1">
    <pageField fld="9" item="1" hier="-1"/>
  </pageFields>
  <dataFields count="1">
    <dataField name="Participants" fld="0" subtotal="count" baseField="0" baseItem="0"/>
  </dataFields>
  <formats count="1">
    <format dxfId="78">
      <pivotArea outline="0" collapsedLevelsAreSubtotals="1" fieldPosition="0"/>
    </format>
  </formats>
  <chartFormats count="6">
    <chartFormat chart="0" format="0" series="1">
      <pivotArea type="data" outline="0" fieldPosition="0">
        <references count="2">
          <reference field="4294967294" count="1" selected="0">
            <x v="0"/>
          </reference>
          <reference field="18" count="1" selected="0">
            <x v="0"/>
          </reference>
        </references>
      </pivotArea>
    </chartFormat>
    <chartFormat chart="0" format="1" series="1">
      <pivotArea type="data" outline="0" fieldPosition="0">
        <references count="2">
          <reference field="4294967294" count="1" selected="0">
            <x v="0"/>
          </reference>
          <reference field="18" count="1" selected="0">
            <x v="1"/>
          </reference>
        </references>
      </pivotArea>
    </chartFormat>
    <chartFormat chart="3" format="4" series="1">
      <pivotArea type="data" outline="0" fieldPosition="0">
        <references count="2">
          <reference field="4294967294" count="1" selected="0">
            <x v="0"/>
          </reference>
          <reference field="18" count="1" selected="0">
            <x v="0"/>
          </reference>
        </references>
      </pivotArea>
    </chartFormat>
    <chartFormat chart="3" format="5" series="1">
      <pivotArea type="data" outline="0" fieldPosition="0">
        <references count="2">
          <reference field="4294967294" count="1" selected="0">
            <x v="0"/>
          </reference>
          <reference field="18" count="1" selected="0">
            <x v="1"/>
          </reference>
        </references>
      </pivotArea>
    </chartFormat>
    <chartFormat chart="5" format="8" series="1">
      <pivotArea type="data" outline="0" fieldPosition="0">
        <references count="2">
          <reference field="4294967294" count="1" selected="0">
            <x v="0"/>
          </reference>
          <reference field="18" count="1" selected="0">
            <x v="0"/>
          </reference>
        </references>
      </pivotArea>
    </chartFormat>
    <chartFormat chart="5" format="9" series="1">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7E23254-21DE-4773-84C7-07105122B273}" sourceName="Region">
  <pivotTables>
    <pivotTable tabId="5" name="PivotTable5"/>
    <pivotTable tabId="5" name="PivotTable11"/>
    <pivotTable tabId="5" name="PivotTable12"/>
    <pivotTable tabId="5" name="PivotTable6"/>
    <pivotTable tabId="5" name="PivotTable7"/>
  </pivotTables>
  <data>
    <tabular pivotCacheId="1600948951">
      <items count="4">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ortCategory_Short" xr10:uid="{3494950F-ECBC-4977-958F-6C80AACEE2B6}" sourceName="SupportCategory_Short">
  <pivotTables>
    <pivotTable tabId="5" name="PivotTable5"/>
    <pivotTable tabId="5" name="PivotTable11"/>
    <pivotTable tabId="5" name="PivotTable12"/>
    <pivotTable tabId="5" name="PivotTable6"/>
    <pivotTable tabId="5" name="PivotTable7"/>
  </pivotTables>
  <data>
    <tabular pivotCacheId="1600948951">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C7E7855-A0D1-413B-9AD3-22225792D68A}" cache="Slicer_Region" caption="Region" rowHeight="249238"/>
  <slicer name="Support Category" xr10:uid="{25E45F85-04B7-4189-AC17-DB128F09B105}" cache="Slicer_SupportCategory_Short" caption="Support Category" rowHeight="249238"/>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E87D3-C4AE-4ED1-9B2A-2E06AFE19B05}">
  <dimension ref="A1:T101"/>
  <sheetViews>
    <sheetView tabSelected="1" workbookViewId="0">
      <selection activeCell="T2" sqref="T2"/>
    </sheetView>
  </sheetViews>
  <sheetFormatPr defaultRowHeight="14.25" x14ac:dyDescent="0.45"/>
  <cols>
    <col min="1" max="1" width="12.59765625" bestFit="1" customWidth="1"/>
    <col min="2" max="2" width="10.1328125" bestFit="1" customWidth="1"/>
    <col min="3" max="3" width="10.53125" customWidth="1"/>
    <col min="4" max="4" width="23.59765625" hidden="1" customWidth="1"/>
    <col min="5" max="5" width="9.9296875" style="1" bestFit="1" customWidth="1"/>
    <col min="6" max="6" width="14.59765625" bestFit="1" customWidth="1"/>
    <col min="7" max="7" width="18.59765625" bestFit="1" customWidth="1"/>
    <col min="8" max="8" width="14.86328125" bestFit="1" customWidth="1"/>
    <col min="9" max="9" width="58" bestFit="1" customWidth="1"/>
    <col min="10" max="10" width="58" style="12" customWidth="1"/>
    <col min="11" max="11" width="14.59765625" bestFit="1" customWidth="1"/>
    <col min="12" max="12" width="13.73046875" bestFit="1" customWidth="1"/>
    <col min="13" max="13" width="20.1328125" bestFit="1" customWidth="1"/>
    <col min="14" max="14" width="12" bestFit="1" customWidth="1"/>
    <col min="15" max="15" width="15.59765625" bestFit="1" customWidth="1"/>
    <col min="16" max="16" width="12.59765625" bestFit="1" customWidth="1"/>
    <col min="17" max="17" width="12.73046875" bestFit="1" customWidth="1"/>
    <col min="18" max="18" width="12.59765625" bestFit="1" customWidth="1"/>
    <col min="19" max="19" width="11.33203125" customWidth="1"/>
  </cols>
  <sheetData>
    <row r="1" spans="1:20" x14ac:dyDescent="0.45">
      <c r="A1" t="s">
        <v>0</v>
      </c>
      <c r="B1" t="s">
        <v>1</v>
      </c>
      <c r="C1" t="s">
        <v>2</v>
      </c>
      <c r="D1" t="s">
        <v>297</v>
      </c>
      <c r="E1" s="1" t="s">
        <v>3</v>
      </c>
      <c r="F1" t="s">
        <v>4</v>
      </c>
      <c r="G1" t="s">
        <v>5</v>
      </c>
      <c r="H1" t="s">
        <v>6</v>
      </c>
      <c r="I1" t="s">
        <v>7</v>
      </c>
      <c r="J1" t="s">
        <v>300</v>
      </c>
      <c r="K1" t="s">
        <v>8</v>
      </c>
      <c r="L1" t="s">
        <v>9</v>
      </c>
      <c r="M1" t="s">
        <v>10</v>
      </c>
      <c r="N1" t="s">
        <v>11</v>
      </c>
      <c r="O1" t="s">
        <v>12</v>
      </c>
      <c r="P1" t="s">
        <v>13</v>
      </c>
      <c r="Q1" t="s">
        <v>14</v>
      </c>
      <c r="R1" t="s">
        <v>15</v>
      </c>
      <c r="S1" t="s">
        <v>268</v>
      </c>
      <c r="T1" t="s">
        <v>272</v>
      </c>
    </row>
    <row r="2" spans="1:20" x14ac:dyDescent="0.45">
      <c r="A2" s="9" t="s">
        <v>16</v>
      </c>
      <c r="B2" s="9" t="s">
        <v>17</v>
      </c>
      <c r="C2" s="9" t="s">
        <v>18</v>
      </c>
      <c r="D2" t="str">
        <f>_xlfn.TEXTJOIN(" ",TRUE,B2,C2)</f>
        <v>Casey Smith</v>
      </c>
      <c r="E2" s="1">
        <v>27276</v>
      </c>
      <c r="F2" s="9" t="s">
        <v>19</v>
      </c>
      <c r="G2" s="9" t="s">
        <v>20</v>
      </c>
      <c r="H2" s="7">
        <v>52</v>
      </c>
      <c r="I2" s="9" t="s">
        <v>21</v>
      </c>
      <c r="J2" s="12" t="str">
        <f>IF(I2="Assistance with Social, Economic and Community Participation",
"Community Participation",
"Support Coordination")</f>
        <v>Community Participation</v>
      </c>
      <c r="K2" s="2">
        <v>156070.65</v>
      </c>
      <c r="L2" s="2">
        <v>169370.1</v>
      </c>
      <c r="M2" s="6">
        <v>1.0851999999999999</v>
      </c>
      <c r="N2" s="8">
        <v>45.36</v>
      </c>
      <c r="O2" s="8">
        <v>70.23</v>
      </c>
      <c r="P2" s="8">
        <v>109392.39</v>
      </c>
      <c r="Q2" s="8">
        <v>169370.1</v>
      </c>
      <c r="R2" s="8">
        <v>59977.71</v>
      </c>
      <c r="S2" t="str">
        <f>IF(M2&gt;1, "Overspent", IF(M2&gt;=0.8, "On Track", "Underspent"))</f>
        <v>Overspent</v>
      </c>
      <c r="T2" t="str">
        <f>IF(H2&lt;15,"Expiring",IF(H2&lt;=30,"Active","Healthy"))</f>
        <v>Healthy</v>
      </c>
    </row>
    <row r="3" spans="1:20" x14ac:dyDescent="0.45">
      <c r="A3" s="9" t="s">
        <v>22</v>
      </c>
      <c r="B3" s="9" t="s">
        <v>23</v>
      </c>
      <c r="C3" s="9" t="s">
        <v>24</v>
      </c>
      <c r="D3" t="str">
        <f t="shared" ref="D3:D66" si="0">_xlfn.TEXTJOIN(" ",TRUE,B3,C3)</f>
        <v>Parker Brown</v>
      </c>
      <c r="E3" s="1">
        <v>37613</v>
      </c>
      <c r="F3" s="9" t="s">
        <v>25</v>
      </c>
      <c r="G3" s="9" t="s">
        <v>26</v>
      </c>
      <c r="H3" s="7">
        <v>47</v>
      </c>
      <c r="I3" s="9" t="s">
        <v>21</v>
      </c>
      <c r="J3" s="12" t="str">
        <f t="shared" ref="J3:J66" si="1">IF(I3="Assistance with Social, Economic and Community Participation",
"Community Participation",
"Support Coordination")</f>
        <v>Community Participation</v>
      </c>
      <c r="K3" s="2">
        <v>295477.64</v>
      </c>
      <c r="L3" s="2">
        <v>289449.17</v>
      </c>
      <c r="M3" s="6">
        <v>0.97959999999999992</v>
      </c>
      <c r="N3" s="8">
        <v>45.36</v>
      </c>
      <c r="O3" s="8">
        <v>70.23</v>
      </c>
      <c r="P3" s="8">
        <v>186948.8</v>
      </c>
      <c r="Q3" s="8">
        <v>289449.17</v>
      </c>
      <c r="R3" s="8">
        <v>102500.37</v>
      </c>
      <c r="S3" t="str">
        <f t="shared" ref="S3:S66" si="2">IF(M3&gt;1, "Overspent", IF(M3&gt;=0.8, "On Track", "Underspent"))</f>
        <v>On Track</v>
      </c>
      <c r="T3" t="str">
        <f t="shared" ref="T3:T66" si="3">IF(H3&lt;15,"Expiring",IF(H3&lt;=30,"Active","Healthy"))</f>
        <v>Healthy</v>
      </c>
    </row>
    <row r="4" spans="1:20" x14ac:dyDescent="0.45">
      <c r="A4" s="9" t="s">
        <v>27</v>
      </c>
      <c r="B4" s="9" t="s">
        <v>28</v>
      </c>
      <c r="C4" s="9" t="s">
        <v>29</v>
      </c>
      <c r="D4" t="str">
        <f t="shared" si="0"/>
        <v>Pat Jackson</v>
      </c>
      <c r="E4" s="1">
        <v>34823</v>
      </c>
      <c r="F4" s="9" t="s">
        <v>30</v>
      </c>
      <c r="G4" s="9" t="s">
        <v>31</v>
      </c>
      <c r="H4" s="7">
        <v>332</v>
      </c>
      <c r="I4" s="9" t="s">
        <v>21</v>
      </c>
      <c r="J4" s="12" t="str">
        <f t="shared" si="1"/>
        <v>Community Participation</v>
      </c>
      <c r="K4" s="2">
        <v>70847.27</v>
      </c>
      <c r="L4" s="2">
        <v>59993.35</v>
      </c>
      <c r="M4" s="6">
        <v>0.84680000000000011</v>
      </c>
      <c r="N4" s="8">
        <v>45.36</v>
      </c>
      <c r="O4" s="8">
        <v>70.23</v>
      </c>
      <c r="P4" s="8">
        <v>38748.379999999997</v>
      </c>
      <c r="Q4" s="8">
        <v>59993.35</v>
      </c>
      <c r="R4" s="8">
        <v>21244.98</v>
      </c>
      <c r="S4" t="str">
        <f t="shared" si="2"/>
        <v>On Track</v>
      </c>
      <c r="T4" t="str">
        <f t="shared" si="3"/>
        <v>Healthy</v>
      </c>
    </row>
    <row r="5" spans="1:20" x14ac:dyDescent="0.45">
      <c r="A5" s="9" t="s">
        <v>32</v>
      </c>
      <c r="B5" s="9" t="s">
        <v>23</v>
      </c>
      <c r="C5" s="9" t="s">
        <v>33</v>
      </c>
      <c r="D5" t="str">
        <f t="shared" si="0"/>
        <v>Parker Martinez</v>
      </c>
      <c r="E5" s="1">
        <v>25487</v>
      </c>
      <c r="F5" s="9" t="s">
        <v>25</v>
      </c>
      <c r="G5" s="9" t="s">
        <v>34</v>
      </c>
      <c r="H5" s="7">
        <v>81</v>
      </c>
      <c r="I5" s="9" t="s">
        <v>35</v>
      </c>
      <c r="J5" s="12" t="str">
        <f t="shared" si="1"/>
        <v>Support Coordination</v>
      </c>
      <c r="K5" s="2">
        <v>32652.61</v>
      </c>
      <c r="L5" s="2">
        <v>34606.959999999999</v>
      </c>
      <c r="M5" s="6">
        <v>1.0598999999999998</v>
      </c>
      <c r="N5" s="8">
        <v>63.47</v>
      </c>
      <c r="O5" s="8">
        <v>100.14</v>
      </c>
      <c r="P5" s="8">
        <v>21934.33</v>
      </c>
      <c r="Q5" s="8">
        <v>34606.959999999999</v>
      </c>
      <c r="R5" s="8">
        <v>12672.63</v>
      </c>
      <c r="S5" t="str">
        <f t="shared" si="2"/>
        <v>Overspent</v>
      </c>
      <c r="T5" t="str">
        <f t="shared" si="3"/>
        <v>Healthy</v>
      </c>
    </row>
    <row r="6" spans="1:20" x14ac:dyDescent="0.45">
      <c r="A6" s="9" t="s">
        <v>36</v>
      </c>
      <c r="B6" s="9" t="s">
        <v>37</v>
      </c>
      <c r="C6" s="9" t="s">
        <v>38</v>
      </c>
      <c r="D6" t="str">
        <f t="shared" si="0"/>
        <v>Charlie Martin</v>
      </c>
      <c r="E6" s="1">
        <v>27369</v>
      </c>
      <c r="F6" s="9" t="s">
        <v>19</v>
      </c>
      <c r="G6" s="9" t="s">
        <v>39</v>
      </c>
      <c r="H6" s="7">
        <v>52</v>
      </c>
      <c r="I6" s="9" t="s">
        <v>21</v>
      </c>
      <c r="J6" s="12" t="str">
        <f t="shared" si="1"/>
        <v>Community Participation</v>
      </c>
      <c r="K6" s="2">
        <v>244434.85</v>
      </c>
      <c r="L6" s="2">
        <v>247471.17</v>
      </c>
      <c r="M6" s="6">
        <v>1.0124</v>
      </c>
      <c r="N6" s="8">
        <v>45.36</v>
      </c>
      <c r="O6" s="8">
        <v>70.23</v>
      </c>
      <c r="P6" s="8">
        <v>159836.14000000001</v>
      </c>
      <c r="Q6" s="8">
        <v>247471.17</v>
      </c>
      <c r="R6" s="8">
        <v>87635.03</v>
      </c>
      <c r="S6" t="str">
        <f t="shared" si="2"/>
        <v>Overspent</v>
      </c>
      <c r="T6" t="str">
        <f t="shared" si="3"/>
        <v>Healthy</v>
      </c>
    </row>
    <row r="7" spans="1:20" x14ac:dyDescent="0.45">
      <c r="A7" s="9" t="s">
        <v>40</v>
      </c>
      <c r="B7" s="9" t="s">
        <v>41</v>
      </c>
      <c r="C7" s="9" t="s">
        <v>42</v>
      </c>
      <c r="D7" t="str">
        <f t="shared" si="0"/>
        <v>Taylor Garcia</v>
      </c>
      <c r="E7" s="1">
        <v>21433</v>
      </c>
      <c r="F7" s="9" t="s">
        <v>43</v>
      </c>
      <c r="G7" s="9" t="s">
        <v>44</v>
      </c>
      <c r="H7" s="7">
        <v>135</v>
      </c>
      <c r="I7" s="9" t="s">
        <v>35</v>
      </c>
      <c r="J7" s="12" t="str">
        <f t="shared" si="1"/>
        <v>Support Coordination</v>
      </c>
      <c r="K7" s="2">
        <v>18027.95</v>
      </c>
      <c r="L7" s="2">
        <v>19668.009999999998</v>
      </c>
      <c r="M7" s="6">
        <v>1.091</v>
      </c>
      <c r="N7" s="8">
        <v>63.47</v>
      </c>
      <c r="O7" s="8">
        <v>100.14</v>
      </c>
      <c r="P7" s="8">
        <v>12465.83</v>
      </c>
      <c r="Q7" s="8">
        <v>19668.009999999998</v>
      </c>
      <c r="R7" s="8">
        <v>7202.18</v>
      </c>
      <c r="S7" t="str">
        <f t="shared" si="2"/>
        <v>Overspent</v>
      </c>
      <c r="T7" t="str">
        <f t="shared" si="3"/>
        <v>Healthy</v>
      </c>
    </row>
    <row r="8" spans="1:20" x14ac:dyDescent="0.45">
      <c r="A8" s="9" t="s">
        <v>45</v>
      </c>
      <c r="B8" s="9" t="s">
        <v>46</v>
      </c>
      <c r="C8" s="9" t="s">
        <v>47</v>
      </c>
      <c r="D8" t="str">
        <f t="shared" si="0"/>
        <v>Jordan Robinson</v>
      </c>
      <c r="E8" s="1">
        <v>35835</v>
      </c>
      <c r="F8" s="9" t="s">
        <v>30</v>
      </c>
      <c r="G8" s="9" t="s">
        <v>48</v>
      </c>
      <c r="H8" s="7">
        <v>282</v>
      </c>
      <c r="I8" s="9" t="s">
        <v>35</v>
      </c>
      <c r="J8" s="12" t="str">
        <f t="shared" si="1"/>
        <v>Support Coordination</v>
      </c>
      <c r="K8" s="2">
        <v>334652.63</v>
      </c>
      <c r="L8" s="2">
        <v>289040.06</v>
      </c>
      <c r="M8" s="6">
        <v>0.86370000000000002</v>
      </c>
      <c r="N8" s="8">
        <v>63.47</v>
      </c>
      <c r="O8" s="8">
        <v>100.14</v>
      </c>
      <c r="P8" s="8">
        <v>183197.25</v>
      </c>
      <c r="Q8" s="8">
        <v>289040.06</v>
      </c>
      <c r="R8" s="8">
        <v>105842.81</v>
      </c>
      <c r="S8" t="str">
        <f t="shared" si="2"/>
        <v>On Track</v>
      </c>
      <c r="T8" t="str">
        <f t="shared" si="3"/>
        <v>Healthy</v>
      </c>
    </row>
    <row r="9" spans="1:20" x14ac:dyDescent="0.45">
      <c r="A9" s="9" t="s">
        <v>49</v>
      </c>
      <c r="B9" s="9" t="s">
        <v>50</v>
      </c>
      <c r="C9" s="9" t="s">
        <v>51</v>
      </c>
      <c r="D9" t="str">
        <f t="shared" si="0"/>
        <v>Riley Hall</v>
      </c>
      <c r="E9" s="1">
        <v>30114</v>
      </c>
      <c r="F9" s="9" t="s">
        <v>19</v>
      </c>
      <c r="G9" s="9" t="s">
        <v>52</v>
      </c>
      <c r="H9" s="7">
        <v>338</v>
      </c>
      <c r="I9" s="9" t="s">
        <v>21</v>
      </c>
      <c r="J9" s="12" t="str">
        <f t="shared" si="1"/>
        <v>Community Participation</v>
      </c>
      <c r="K9" s="2">
        <v>80911.740000000005</v>
      </c>
      <c r="L9" s="2">
        <v>69181.259999999995</v>
      </c>
      <c r="M9" s="6">
        <v>0.85499999999999998</v>
      </c>
      <c r="N9" s="8">
        <v>45.36</v>
      </c>
      <c r="O9" s="8">
        <v>70.23</v>
      </c>
      <c r="P9" s="8">
        <v>44682.64</v>
      </c>
      <c r="Q9" s="8">
        <v>69181.259999999995</v>
      </c>
      <c r="R9" s="8">
        <v>24498.62</v>
      </c>
      <c r="S9" t="str">
        <f t="shared" si="2"/>
        <v>On Track</v>
      </c>
      <c r="T9" t="str">
        <f t="shared" si="3"/>
        <v>Healthy</v>
      </c>
    </row>
    <row r="10" spans="1:20" x14ac:dyDescent="0.45">
      <c r="A10" s="9" t="s">
        <v>53</v>
      </c>
      <c r="B10" s="9" t="s">
        <v>54</v>
      </c>
      <c r="C10" s="9" t="s">
        <v>55</v>
      </c>
      <c r="D10" t="str">
        <f t="shared" si="0"/>
        <v>Jamie Harris</v>
      </c>
      <c r="E10" s="1">
        <v>20878</v>
      </c>
      <c r="F10" s="9" t="s">
        <v>19</v>
      </c>
      <c r="G10" s="9" t="s">
        <v>56</v>
      </c>
      <c r="H10" s="7">
        <v>142</v>
      </c>
      <c r="I10" s="9" t="s">
        <v>21</v>
      </c>
      <c r="J10" s="12" t="str">
        <f t="shared" si="1"/>
        <v>Community Participation</v>
      </c>
      <c r="K10" s="2">
        <v>128654.47</v>
      </c>
      <c r="L10" s="2">
        <v>123177.26</v>
      </c>
      <c r="M10" s="6">
        <v>0.95739999999999992</v>
      </c>
      <c r="N10" s="8">
        <v>45.36</v>
      </c>
      <c r="O10" s="8">
        <v>70.23</v>
      </c>
      <c r="P10" s="8">
        <v>79557.460000000006</v>
      </c>
      <c r="Q10" s="8">
        <v>123177.26</v>
      </c>
      <c r="R10" s="8">
        <v>43619.8</v>
      </c>
      <c r="S10" t="str">
        <f t="shared" si="2"/>
        <v>On Track</v>
      </c>
      <c r="T10" t="str">
        <f t="shared" si="3"/>
        <v>Healthy</v>
      </c>
    </row>
    <row r="11" spans="1:20" x14ac:dyDescent="0.45">
      <c r="A11" s="9" t="s">
        <v>57</v>
      </c>
      <c r="B11" s="9" t="s">
        <v>58</v>
      </c>
      <c r="C11" s="9" t="s">
        <v>59</v>
      </c>
      <c r="D11" t="str">
        <f t="shared" si="0"/>
        <v>Quinn Thompson</v>
      </c>
      <c r="E11" s="1">
        <v>23593</v>
      </c>
      <c r="F11" s="9" t="s">
        <v>43</v>
      </c>
      <c r="G11" s="9" t="s">
        <v>60</v>
      </c>
      <c r="H11" s="7">
        <v>343</v>
      </c>
      <c r="I11" s="9" t="s">
        <v>35</v>
      </c>
      <c r="J11" s="12" t="str">
        <f t="shared" si="1"/>
        <v>Support Coordination</v>
      </c>
      <c r="K11" s="2">
        <v>178458.56</v>
      </c>
      <c r="L11" s="2">
        <v>158358.54999999999</v>
      </c>
      <c r="M11" s="6">
        <v>0.88739999999999997</v>
      </c>
      <c r="N11" s="8">
        <v>63.47</v>
      </c>
      <c r="O11" s="8">
        <v>100.14</v>
      </c>
      <c r="P11" s="8">
        <v>100369.65</v>
      </c>
      <c r="Q11" s="8">
        <v>158358.54999999999</v>
      </c>
      <c r="R11" s="8">
        <v>57988.89</v>
      </c>
      <c r="S11" t="str">
        <f t="shared" si="2"/>
        <v>On Track</v>
      </c>
      <c r="T11" t="str">
        <f t="shared" si="3"/>
        <v>Healthy</v>
      </c>
    </row>
    <row r="12" spans="1:20" x14ac:dyDescent="0.45">
      <c r="A12" s="9" t="s">
        <v>61</v>
      </c>
      <c r="B12" s="9" t="s">
        <v>62</v>
      </c>
      <c r="C12" s="9" t="s">
        <v>24</v>
      </c>
      <c r="D12" t="str">
        <f t="shared" si="0"/>
        <v>Morgan Brown</v>
      </c>
      <c r="E12" s="1">
        <v>38224</v>
      </c>
      <c r="F12" s="9" t="s">
        <v>19</v>
      </c>
      <c r="G12" s="9" t="s">
        <v>63</v>
      </c>
      <c r="H12" s="7">
        <v>236</v>
      </c>
      <c r="I12" s="9" t="s">
        <v>21</v>
      </c>
      <c r="J12" s="12" t="str">
        <f t="shared" si="1"/>
        <v>Community Participation</v>
      </c>
      <c r="K12" s="2">
        <v>248622.63</v>
      </c>
      <c r="L12" s="2">
        <v>209302.5</v>
      </c>
      <c r="M12" s="6">
        <v>0.8418000000000001</v>
      </c>
      <c r="N12" s="8">
        <v>45.36</v>
      </c>
      <c r="O12" s="8">
        <v>70.23</v>
      </c>
      <c r="P12" s="8">
        <v>135183.85</v>
      </c>
      <c r="Q12" s="8">
        <v>209302.5</v>
      </c>
      <c r="R12" s="8">
        <v>74118.66</v>
      </c>
      <c r="S12" t="str">
        <f t="shared" si="2"/>
        <v>On Track</v>
      </c>
      <c r="T12" t="str">
        <f t="shared" si="3"/>
        <v>Healthy</v>
      </c>
    </row>
    <row r="13" spans="1:20" x14ac:dyDescent="0.45">
      <c r="A13" s="9" t="s">
        <v>64</v>
      </c>
      <c r="B13" s="9" t="s">
        <v>65</v>
      </c>
      <c r="C13" s="9" t="s">
        <v>66</v>
      </c>
      <c r="D13" t="str">
        <f t="shared" si="0"/>
        <v>Harper White</v>
      </c>
      <c r="E13" s="1">
        <v>39235</v>
      </c>
      <c r="F13" s="9" t="s">
        <v>19</v>
      </c>
      <c r="G13" s="9" t="s">
        <v>67</v>
      </c>
      <c r="H13" s="7">
        <v>117</v>
      </c>
      <c r="I13" s="9" t="s">
        <v>35</v>
      </c>
      <c r="J13" s="12" t="str">
        <f t="shared" si="1"/>
        <v>Support Coordination</v>
      </c>
      <c r="K13" s="2">
        <v>123936.41</v>
      </c>
      <c r="L13" s="2">
        <v>112770.8</v>
      </c>
      <c r="M13" s="6">
        <v>0.90989999999999993</v>
      </c>
      <c r="N13" s="8">
        <v>63.47</v>
      </c>
      <c r="O13" s="8">
        <v>100.14</v>
      </c>
      <c r="P13" s="8">
        <v>71475.56</v>
      </c>
      <c r="Q13" s="8">
        <v>112770.8</v>
      </c>
      <c r="R13" s="8">
        <v>41295.24</v>
      </c>
      <c r="S13" t="str">
        <f t="shared" si="2"/>
        <v>On Track</v>
      </c>
      <c r="T13" t="str">
        <f t="shared" si="3"/>
        <v>Healthy</v>
      </c>
    </row>
    <row r="14" spans="1:20" x14ac:dyDescent="0.45">
      <c r="A14" s="9" t="s">
        <v>68</v>
      </c>
      <c r="B14" s="9" t="s">
        <v>46</v>
      </c>
      <c r="C14" s="9" t="s">
        <v>38</v>
      </c>
      <c r="D14" t="str">
        <f t="shared" si="0"/>
        <v>Jordan Martin</v>
      </c>
      <c r="E14" s="1">
        <v>31409</v>
      </c>
      <c r="F14" s="9" t="s">
        <v>43</v>
      </c>
      <c r="G14" s="9" t="s">
        <v>69</v>
      </c>
      <c r="H14" s="7">
        <v>290</v>
      </c>
      <c r="I14" s="9" t="s">
        <v>21</v>
      </c>
      <c r="J14" s="12" t="str">
        <f t="shared" si="1"/>
        <v>Community Participation</v>
      </c>
      <c r="K14" s="2">
        <v>187867.29</v>
      </c>
      <c r="L14" s="2">
        <v>194546.5</v>
      </c>
      <c r="M14" s="6">
        <v>1.0356000000000001</v>
      </c>
      <c r="N14" s="8">
        <v>45.36</v>
      </c>
      <c r="O14" s="8">
        <v>70.23</v>
      </c>
      <c r="P14" s="8">
        <v>125653.27</v>
      </c>
      <c r="Q14" s="8">
        <v>194546.5</v>
      </c>
      <c r="R14" s="8">
        <v>68893.23</v>
      </c>
      <c r="S14" t="str">
        <f t="shared" si="2"/>
        <v>Overspent</v>
      </c>
      <c r="T14" t="str">
        <f t="shared" si="3"/>
        <v>Healthy</v>
      </c>
    </row>
    <row r="15" spans="1:20" x14ac:dyDescent="0.45">
      <c r="A15" s="9" t="s">
        <v>70</v>
      </c>
      <c r="B15" s="9" t="s">
        <v>71</v>
      </c>
      <c r="C15" s="9" t="s">
        <v>72</v>
      </c>
      <c r="D15" t="str">
        <f t="shared" si="0"/>
        <v>Logan Thomas</v>
      </c>
      <c r="E15" s="1">
        <v>39741</v>
      </c>
      <c r="F15" s="9" t="s">
        <v>25</v>
      </c>
      <c r="G15" s="9" t="s">
        <v>73</v>
      </c>
      <c r="H15" s="7">
        <v>234</v>
      </c>
      <c r="I15" s="9" t="s">
        <v>35</v>
      </c>
      <c r="J15" s="12" t="str">
        <f t="shared" si="1"/>
        <v>Support Coordination</v>
      </c>
      <c r="K15" s="2">
        <v>87872.78</v>
      </c>
      <c r="L15" s="2">
        <v>83854.38</v>
      </c>
      <c r="M15" s="6">
        <v>0.95430000000000004</v>
      </c>
      <c r="N15" s="8">
        <v>63.47</v>
      </c>
      <c r="O15" s="8">
        <v>100.14</v>
      </c>
      <c r="P15" s="8">
        <v>53147.97</v>
      </c>
      <c r="Q15" s="8">
        <v>83854.38</v>
      </c>
      <c r="R15" s="8">
        <v>30706.41</v>
      </c>
      <c r="S15" t="str">
        <f t="shared" si="2"/>
        <v>On Track</v>
      </c>
      <c r="T15" t="str">
        <f t="shared" si="3"/>
        <v>Healthy</v>
      </c>
    </row>
    <row r="16" spans="1:20" x14ac:dyDescent="0.45">
      <c r="A16" s="9" t="s">
        <v>74</v>
      </c>
      <c r="B16" s="9" t="s">
        <v>75</v>
      </c>
      <c r="C16" s="9" t="s">
        <v>66</v>
      </c>
      <c r="D16" t="str">
        <f t="shared" si="0"/>
        <v>Sam White</v>
      </c>
      <c r="E16" s="1">
        <v>22839</v>
      </c>
      <c r="F16" s="9" t="s">
        <v>19</v>
      </c>
      <c r="G16" s="9" t="s">
        <v>76</v>
      </c>
      <c r="H16" s="7">
        <v>219</v>
      </c>
      <c r="I16" s="9" t="s">
        <v>35</v>
      </c>
      <c r="J16" s="12" t="str">
        <f t="shared" si="1"/>
        <v>Support Coordination</v>
      </c>
      <c r="K16" s="2">
        <v>241041.68</v>
      </c>
      <c r="L16" s="2">
        <v>196192.29</v>
      </c>
      <c r="M16" s="6">
        <v>0.81389999999999996</v>
      </c>
      <c r="N16" s="8">
        <v>63.47</v>
      </c>
      <c r="O16" s="8">
        <v>100.14</v>
      </c>
      <c r="P16" s="8">
        <v>124349.16</v>
      </c>
      <c r="Q16" s="8">
        <v>196192.29</v>
      </c>
      <c r="R16" s="8">
        <v>71843.13</v>
      </c>
      <c r="S16" t="str">
        <f t="shared" si="2"/>
        <v>On Track</v>
      </c>
      <c r="T16" t="str">
        <f t="shared" si="3"/>
        <v>Healthy</v>
      </c>
    </row>
    <row r="17" spans="1:20" x14ac:dyDescent="0.45">
      <c r="A17" s="9" t="s">
        <v>77</v>
      </c>
      <c r="B17" s="9" t="s">
        <v>78</v>
      </c>
      <c r="C17" s="9" t="s">
        <v>42</v>
      </c>
      <c r="D17" t="str">
        <f t="shared" si="0"/>
        <v>Rowan Garcia</v>
      </c>
      <c r="E17" s="1">
        <v>30125</v>
      </c>
      <c r="F17" s="9" t="s">
        <v>19</v>
      </c>
      <c r="G17" s="9" t="s">
        <v>79</v>
      </c>
      <c r="H17" s="7">
        <v>252</v>
      </c>
      <c r="I17" s="9" t="s">
        <v>21</v>
      </c>
      <c r="J17" s="12" t="str">
        <f t="shared" si="1"/>
        <v>Community Participation</v>
      </c>
      <c r="K17" s="2">
        <v>246942.49</v>
      </c>
      <c r="L17" s="2">
        <v>210186.89</v>
      </c>
      <c r="M17" s="6">
        <v>0.85120000000000007</v>
      </c>
      <c r="N17" s="8">
        <v>45.36</v>
      </c>
      <c r="O17" s="8">
        <v>70.23</v>
      </c>
      <c r="P17" s="8">
        <v>135755.04999999999</v>
      </c>
      <c r="Q17" s="8">
        <v>210186.89</v>
      </c>
      <c r="R17" s="8">
        <v>74431.839999999997</v>
      </c>
      <c r="S17" t="str">
        <f t="shared" si="2"/>
        <v>On Track</v>
      </c>
      <c r="T17" t="str">
        <f t="shared" si="3"/>
        <v>Healthy</v>
      </c>
    </row>
    <row r="18" spans="1:20" x14ac:dyDescent="0.45">
      <c r="A18" s="9" t="s">
        <v>80</v>
      </c>
      <c r="B18" s="9" t="s">
        <v>41</v>
      </c>
      <c r="C18" s="9" t="s">
        <v>81</v>
      </c>
      <c r="D18" t="str">
        <f t="shared" si="0"/>
        <v>Taylor Johnson</v>
      </c>
      <c r="E18" s="1">
        <v>21856</v>
      </c>
      <c r="F18" s="9" t="s">
        <v>19</v>
      </c>
      <c r="G18" s="9" t="s">
        <v>82</v>
      </c>
      <c r="H18" s="7">
        <v>216</v>
      </c>
      <c r="I18" s="9" t="s">
        <v>21</v>
      </c>
      <c r="J18" s="12" t="str">
        <f t="shared" si="1"/>
        <v>Community Participation</v>
      </c>
      <c r="K18" s="2">
        <v>35370.120000000003</v>
      </c>
      <c r="L18" s="2">
        <v>38364.76</v>
      </c>
      <c r="M18" s="6">
        <v>1.0847</v>
      </c>
      <c r="N18" s="8">
        <v>45.36</v>
      </c>
      <c r="O18" s="8">
        <v>70.23</v>
      </c>
      <c r="P18" s="8">
        <v>24778.95</v>
      </c>
      <c r="Q18" s="8">
        <v>38364.76</v>
      </c>
      <c r="R18" s="8">
        <v>13585.81</v>
      </c>
      <c r="S18" t="str">
        <f t="shared" si="2"/>
        <v>Overspent</v>
      </c>
      <c r="T18" t="str">
        <f t="shared" si="3"/>
        <v>Healthy</v>
      </c>
    </row>
    <row r="19" spans="1:20" x14ac:dyDescent="0.45">
      <c r="A19" s="9" t="s">
        <v>83</v>
      </c>
      <c r="B19" s="9" t="s">
        <v>84</v>
      </c>
      <c r="C19" s="9" t="s">
        <v>24</v>
      </c>
      <c r="D19" t="str">
        <f t="shared" si="0"/>
        <v>Drew Brown</v>
      </c>
      <c r="E19" s="1">
        <v>30872</v>
      </c>
      <c r="F19" s="9" t="s">
        <v>25</v>
      </c>
      <c r="G19" s="9" t="s">
        <v>85</v>
      </c>
      <c r="H19" s="7">
        <v>128</v>
      </c>
      <c r="I19" s="9" t="s">
        <v>35</v>
      </c>
      <c r="J19" s="12" t="str">
        <f t="shared" si="1"/>
        <v>Support Coordination</v>
      </c>
      <c r="K19" s="2">
        <v>386596.49</v>
      </c>
      <c r="L19" s="2">
        <v>403034.27</v>
      </c>
      <c r="M19" s="6">
        <v>1.0425</v>
      </c>
      <c r="N19" s="8">
        <v>63.47</v>
      </c>
      <c r="O19" s="8">
        <v>100.14</v>
      </c>
      <c r="P19" s="8">
        <v>255448.22</v>
      </c>
      <c r="Q19" s="8">
        <v>403034.27</v>
      </c>
      <c r="R19" s="8">
        <v>147586.04999999999</v>
      </c>
      <c r="S19" t="str">
        <f t="shared" si="2"/>
        <v>Overspent</v>
      </c>
      <c r="T19" t="str">
        <f t="shared" si="3"/>
        <v>Healthy</v>
      </c>
    </row>
    <row r="20" spans="1:20" x14ac:dyDescent="0.45">
      <c r="A20" s="9" t="s">
        <v>86</v>
      </c>
      <c r="B20" s="9" t="s">
        <v>23</v>
      </c>
      <c r="C20" s="9" t="s">
        <v>18</v>
      </c>
      <c r="D20" t="str">
        <f t="shared" si="0"/>
        <v>Parker Smith</v>
      </c>
      <c r="E20" s="1">
        <v>22017</v>
      </c>
      <c r="F20" s="9" t="s">
        <v>43</v>
      </c>
      <c r="G20" s="9" t="s">
        <v>87</v>
      </c>
      <c r="H20" s="7">
        <v>150</v>
      </c>
      <c r="I20" s="9" t="s">
        <v>35</v>
      </c>
      <c r="J20" s="12" t="str">
        <f t="shared" si="1"/>
        <v>Support Coordination</v>
      </c>
      <c r="K20" s="2">
        <v>128799.37</v>
      </c>
      <c r="L20" s="2">
        <v>106813.53</v>
      </c>
      <c r="M20" s="6">
        <v>0.82930000000000004</v>
      </c>
      <c r="N20" s="8">
        <v>63.47</v>
      </c>
      <c r="O20" s="8">
        <v>100.14</v>
      </c>
      <c r="P20" s="8">
        <v>67699.77</v>
      </c>
      <c r="Q20" s="8">
        <v>106813.53</v>
      </c>
      <c r="R20" s="8">
        <v>39113.760000000002</v>
      </c>
      <c r="S20" t="str">
        <f t="shared" si="2"/>
        <v>On Track</v>
      </c>
      <c r="T20" t="str">
        <f t="shared" si="3"/>
        <v>Healthy</v>
      </c>
    </row>
    <row r="21" spans="1:20" x14ac:dyDescent="0.45">
      <c r="A21" s="9" t="s">
        <v>88</v>
      </c>
      <c r="B21" s="9" t="s">
        <v>37</v>
      </c>
      <c r="C21" s="9" t="s">
        <v>89</v>
      </c>
      <c r="D21" t="str">
        <f t="shared" si="0"/>
        <v>Charlie Anderson</v>
      </c>
      <c r="E21" s="1">
        <v>33131</v>
      </c>
      <c r="F21" s="9" t="s">
        <v>30</v>
      </c>
      <c r="G21" s="9" t="s">
        <v>90</v>
      </c>
      <c r="H21" s="7">
        <v>91</v>
      </c>
      <c r="I21" s="9" t="s">
        <v>35</v>
      </c>
      <c r="J21" s="12" t="str">
        <f t="shared" si="1"/>
        <v>Support Coordination</v>
      </c>
      <c r="K21" s="2">
        <v>276850.88</v>
      </c>
      <c r="L21" s="2">
        <v>258037.69</v>
      </c>
      <c r="M21" s="6">
        <v>0.93200000000000005</v>
      </c>
      <c r="N21" s="8">
        <v>63.47</v>
      </c>
      <c r="O21" s="8">
        <v>100.14</v>
      </c>
      <c r="P21" s="8">
        <v>163547.54999999999</v>
      </c>
      <c r="Q21" s="8">
        <v>258037.69</v>
      </c>
      <c r="R21" s="8">
        <v>94490.13</v>
      </c>
      <c r="S21" t="str">
        <f t="shared" si="2"/>
        <v>On Track</v>
      </c>
      <c r="T21" t="str">
        <f t="shared" si="3"/>
        <v>Healthy</v>
      </c>
    </row>
    <row r="22" spans="1:20" x14ac:dyDescent="0.45">
      <c r="A22" s="9" t="s">
        <v>91</v>
      </c>
      <c r="B22" s="9" t="s">
        <v>92</v>
      </c>
      <c r="C22" s="9" t="s">
        <v>93</v>
      </c>
      <c r="D22" t="str">
        <f t="shared" si="0"/>
        <v>Elliot Wilson</v>
      </c>
      <c r="E22" s="1">
        <v>38753</v>
      </c>
      <c r="F22" s="9" t="s">
        <v>43</v>
      </c>
      <c r="G22" s="9" t="s">
        <v>94</v>
      </c>
      <c r="H22" s="7">
        <v>191</v>
      </c>
      <c r="I22" s="9" t="s">
        <v>21</v>
      </c>
      <c r="J22" s="12" t="str">
        <f t="shared" si="1"/>
        <v>Community Participation</v>
      </c>
      <c r="K22" s="2">
        <v>57594.91</v>
      </c>
      <c r="L22" s="2">
        <v>54631.83</v>
      </c>
      <c r="M22" s="6">
        <v>0.9486</v>
      </c>
      <c r="N22" s="8">
        <v>45.36</v>
      </c>
      <c r="O22" s="8">
        <v>70.23</v>
      </c>
      <c r="P22" s="8">
        <v>35285.49</v>
      </c>
      <c r="Q22" s="8">
        <v>54631.83</v>
      </c>
      <c r="R22" s="8">
        <v>19346.34</v>
      </c>
      <c r="S22" t="str">
        <f t="shared" si="2"/>
        <v>On Track</v>
      </c>
      <c r="T22" t="str">
        <f t="shared" si="3"/>
        <v>Healthy</v>
      </c>
    </row>
    <row r="23" spans="1:20" x14ac:dyDescent="0.45">
      <c r="A23" s="9" t="s">
        <v>95</v>
      </c>
      <c r="B23" s="9" t="s">
        <v>96</v>
      </c>
      <c r="C23" s="9" t="s">
        <v>97</v>
      </c>
      <c r="D23" t="str">
        <f t="shared" si="0"/>
        <v>Chris Lewis</v>
      </c>
      <c r="E23" s="1">
        <v>35642</v>
      </c>
      <c r="F23" s="9" t="s">
        <v>30</v>
      </c>
      <c r="G23" s="9" t="s">
        <v>98</v>
      </c>
      <c r="H23" s="7">
        <v>9</v>
      </c>
      <c r="I23" s="9" t="s">
        <v>35</v>
      </c>
      <c r="J23" s="12" t="str">
        <f t="shared" si="1"/>
        <v>Support Coordination</v>
      </c>
      <c r="K23" s="2">
        <v>23411.52</v>
      </c>
      <c r="L23" s="2">
        <v>25115.79</v>
      </c>
      <c r="M23" s="6">
        <v>1.0728</v>
      </c>
      <c r="N23" s="8">
        <v>63.47</v>
      </c>
      <c r="O23" s="8">
        <v>100.14</v>
      </c>
      <c r="P23" s="8">
        <v>15918.71</v>
      </c>
      <c r="Q23" s="8">
        <v>25115.79</v>
      </c>
      <c r="R23" s="8">
        <v>9197.08</v>
      </c>
      <c r="S23" t="str">
        <f t="shared" si="2"/>
        <v>Overspent</v>
      </c>
      <c r="T23" t="str">
        <f t="shared" si="3"/>
        <v>Expiring</v>
      </c>
    </row>
    <row r="24" spans="1:20" x14ac:dyDescent="0.45">
      <c r="A24" s="9" t="s">
        <v>99</v>
      </c>
      <c r="B24" s="9" t="s">
        <v>17</v>
      </c>
      <c r="C24" s="9" t="s">
        <v>59</v>
      </c>
      <c r="D24" t="str">
        <f t="shared" si="0"/>
        <v>Casey Thompson</v>
      </c>
      <c r="E24" s="1">
        <v>28340</v>
      </c>
      <c r="F24" s="9" t="s">
        <v>19</v>
      </c>
      <c r="G24" s="9" t="s">
        <v>100</v>
      </c>
      <c r="H24" s="7">
        <v>290</v>
      </c>
      <c r="I24" s="9" t="s">
        <v>21</v>
      </c>
      <c r="J24" s="12" t="str">
        <f t="shared" si="1"/>
        <v>Community Participation</v>
      </c>
      <c r="K24" s="2">
        <v>110924.19</v>
      </c>
      <c r="L24" s="2">
        <v>110786.28</v>
      </c>
      <c r="M24" s="6">
        <v>0.99879999999999991</v>
      </c>
      <c r="N24" s="8">
        <v>45.36</v>
      </c>
      <c r="O24" s="8">
        <v>70.23</v>
      </c>
      <c r="P24" s="8">
        <v>71554.399999999994</v>
      </c>
      <c r="Q24" s="8">
        <v>110786.28</v>
      </c>
      <c r="R24" s="8">
        <v>39231.879999999997</v>
      </c>
      <c r="S24" t="str">
        <f t="shared" si="2"/>
        <v>On Track</v>
      </c>
      <c r="T24" t="str">
        <f t="shared" si="3"/>
        <v>Healthy</v>
      </c>
    </row>
    <row r="25" spans="1:20" x14ac:dyDescent="0.45">
      <c r="A25" s="9" t="s">
        <v>101</v>
      </c>
      <c r="B25" s="9" t="s">
        <v>41</v>
      </c>
      <c r="C25" s="9" t="s">
        <v>24</v>
      </c>
      <c r="D25" t="str">
        <f t="shared" si="0"/>
        <v>Taylor Brown</v>
      </c>
      <c r="E25" s="1">
        <v>34188</v>
      </c>
      <c r="F25" s="9" t="s">
        <v>30</v>
      </c>
      <c r="G25" s="9" t="s">
        <v>102</v>
      </c>
      <c r="H25" s="7">
        <v>337</v>
      </c>
      <c r="I25" s="9" t="s">
        <v>21</v>
      </c>
      <c r="J25" s="12" t="str">
        <f t="shared" si="1"/>
        <v>Community Participation</v>
      </c>
      <c r="K25" s="2">
        <v>131567.32</v>
      </c>
      <c r="L25" s="2">
        <v>125781.04</v>
      </c>
      <c r="M25" s="6">
        <v>0.95599999999999996</v>
      </c>
      <c r="N25" s="8">
        <v>45.36</v>
      </c>
      <c r="O25" s="8">
        <v>70.23</v>
      </c>
      <c r="P25" s="8">
        <v>81239.19</v>
      </c>
      <c r="Q25" s="8">
        <v>125781.04</v>
      </c>
      <c r="R25" s="8">
        <v>44541.86</v>
      </c>
      <c r="S25" t="str">
        <f t="shared" si="2"/>
        <v>On Track</v>
      </c>
      <c r="T25" t="str">
        <f t="shared" si="3"/>
        <v>Healthy</v>
      </c>
    </row>
    <row r="26" spans="1:20" x14ac:dyDescent="0.45">
      <c r="A26" s="9" t="s">
        <v>103</v>
      </c>
      <c r="B26" s="9" t="s">
        <v>104</v>
      </c>
      <c r="C26" s="9" t="s">
        <v>97</v>
      </c>
      <c r="D26" t="str">
        <f t="shared" si="0"/>
        <v>Finley Lewis</v>
      </c>
      <c r="E26" s="1">
        <v>23674</v>
      </c>
      <c r="F26" s="9" t="s">
        <v>43</v>
      </c>
      <c r="G26" s="9" t="s">
        <v>105</v>
      </c>
      <c r="H26" s="7">
        <v>276</v>
      </c>
      <c r="I26" s="9" t="s">
        <v>35</v>
      </c>
      <c r="J26" s="12" t="str">
        <f t="shared" si="1"/>
        <v>Support Coordination</v>
      </c>
      <c r="K26" s="2">
        <v>223217.01</v>
      </c>
      <c r="L26" s="2">
        <v>190952.4</v>
      </c>
      <c r="M26" s="6">
        <v>0.85549999999999993</v>
      </c>
      <c r="N26" s="8">
        <v>63.47</v>
      </c>
      <c r="O26" s="8">
        <v>100.14</v>
      </c>
      <c r="P26" s="8">
        <v>121028.05</v>
      </c>
      <c r="Q26" s="8">
        <v>190952.4</v>
      </c>
      <c r="R26" s="8">
        <v>69924.350000000006</v>
      </c>
      <c r="S26" t="str">
        <f t="shared" si="2"/>
        <v>On Track</v>
      </c>
      <c r="T26" t="str">
        <f t="shared" si="3"/>
        <v>Healthy</v>
      </c>
    </row>
    <row r="27" spans="1:20" x14ac:dyDescent="0.45">
      <c r="A27" s="9" t="s">
        <v>106</v>
      </c>
      <c r="B27" s="9" t="s">
        <v>28</v>
      </c>
      <c r="C27" s="9" t="s">
        <v>55</v>
      </c>
      <c r="D27" t="str">
        <f t="shared" si="0"/>
        <v>Pat Harris</v>
      </c>
      <c r="E27" s="1">
        <v>31338</v>
      </c>
      <c r="F27" s="9" t="s">
        <v>43</v>
      </c>
      <c r="G27" s="9" t="s">
        <v>107</v>
      </c>
      <c r="H27" s="7">
        <v>231</v>
      </c>
      <c r="I27" s="9" t="s">
        <v>35</v>
      </c>
      <c r="J27" s="12" t="str">
        <f t="shared" si="1"/>
        <v>Support Coordination</v>
      </c>
      <c r="K27" s="2">
        <v>388138</v>
      </c>
      <c r="L27" s="2">
        <v>400767.96</v>
      </c>
      <c r="M27" s="6">
        <v>1.0325</v>
      </c>
      <c r="N27" s="8">
        <v>63.47</v>
      </c>
      <c r="O27" s="8">
        <v>100.14</v>
      </c>
      <c r="P27" s="8">
        <v>254011.81</v>
      </c>
      <c r="Q27" s="8">
        <v>400767.96</v>
      </c>
      <c r="R27" s="8">
        <v>146756.15</v>
      </c>
      <c r="S27" t="str">
        <f t="shared" si="2"/>
        <v>Overspent</v>
      </c>
      <c r="T27" t="str">
        <f t="shared" si="3"/>
        <v>Healthy</v>
      </c>
    </row>
    <row r="28" spans="1:20" x14ac:dyDescent="0.45">
      <c r="A28" s="9" t="s">
        <v>108</v>
      </c>
      <c r="B28" s="9" t="s">
        <v>17</v>
      </c>
      <c r="C28" s="9" t="s">
        <v>29</v>
      </c>
      <c r="D28" t="str">
        <f t="shared" si="0"/>
        <v>Casey Jackson</v>
      </c>
      <c r="E28" s="1">
        <v>25626</v>
      </c>
      <c r="F28" s="9" t="s">
        <v>30</v>
      </c>
      <c r="G28" s="9" t="s">
        <v>109</v>
      </c>
      <c r="H28" s="7">
        <v>301</v>
      </c>
      <c r="I28" s="9" t="s">
        <v>35</v>
      </c>
      <c r="J28" s="12" t="str">
        <f t="shared" si="1"/>
        <v>Support Coordination</v>
      </c>
      <c r="K28" s="2">
        <v>376404.59</v>
      </c>
      <c r="L28" s="2">
        <v>402168.81</v>
      </c>
      <c r="M28" s="6">
        <v>1.0684</v>
      </c>
      <c r="N28" s="8">
        <v>63.47</v>
      </c>
      <c r="O28" s="8">
        <v>100.14</v>
      </c>
      <c r="P28" s="8">
        <v>254899.68</v>
      </c>
      <c r="Q28" s="8">
        <v>402168.81</v>
      </c>
      <c r="R28" s="8">
        <v>147269.12</v>
      </c>
      <c r="S28" t="str">
        <f t="shared" si="2"/>
        <v>Overspent</v>
      </c>
      <c r="T28" t="str">
        <f t="shared" si="3"/>
        <v>Healthy</v>
      </c>
    </row>
    <row r="29" spans="1:20" x14ac:dyDescent="0.45">
      <c r="A29" s="9" t="s">
        <v>110</v>
      </c>
      <c r="B29" s="9" t="s">
        <v>23</v>
      </c>
      <c r="C29" s="9" t="s">
        <v>29</v>
      </c>
      <c r="D29" t="str">
        <f t="shared" si="0"/>
        <v>Parker Jackson</v>
      </c>
      <c r="E29" s="1">
        <v>37546</v>
      </c>
      <c r="F29" s="9" t="s">
        <v>19</v>
      </c>
      <c r="G29" s="9" t="s">
        <v>111</v>
      </c>
      <c r="H29" s="7">
        <v>362</v>
      </c>
      <c r="I29" s="9" t="s">
        <v>21</v>
      </c>
      <c r="J29" s="12" t="str">
        <f t="shared" si="1"/>
        <v>Community Participation</v>
      </c>
      <c r="K29" s="2">
        <v>243180.99</v>
      </c>
      <c r="L29" s="2">
        <v>261799.48</v>
      </c>
      <c r="M29" s="6">
        <v>1.0766</v>
      </c>
      <c r="N29" s="8">
        <v>45.36</v>
      </c>
      <c r="O29" s="8">
        <v>70.23</v>
      </c>
      <c r="P29" s="8">
        <v>169090.48</v>
      </c>
      <c r="Q29" s="8">
        <v>261799.48</v>
      </c>
      <c r="R29" s="8">
        <v>92709</v>
      </c>
      <c r="S29" t="str">
        <f t="shared" si="2"/>
        <v>Overspent</v>
      </c>
      <c r="T29" t="str">
        <f t="shared" si="3"/>
        <v>Healthy</v>
      </c>
    </row>
    <row r="30" spans="1:20" x14ac:dyDescent="0.45">
      <c r="A30" s="9" t="s">
        <v>112</v>
      </c>
      <c r="B30" s="9" t="s">
        <v>46</v>
      </c>
      <c r="C30" s="9" t="s">
        <v>29</v>
      </c>
      <c r="D30" t="str">
        <f t="shared" si="0"/>
        <v>Jordan Jackson</v>
      </c>
      <c r="E30" s="1">
        <v>20472</v>
      </c>
      <c r="F30" s="9" t="s">
        <v>30</v>
      </c>
      <c r="G30" s="9" t="s">
        <v>113</v>
      </c>
      <c r="H30" s="7">
        <v>263</v>
      </c>
      <c r="I30" s="9" t="s">
        <v>35</v>
      </c>
      <c r="J30" s="12" t="str">
        <f t="shared" si="1"/>
        <v>Support Coordination</v>
      </c>
      <c r="K30" s="2">
        <v>44512.08</v>
      </c>
      <c r="L30" s="2">
        <v>38226.74</v>
      </c>
      <c r="M30" s="6">
        <v>0.85880000000000001</v>
      </c>
      <c r="N30" s="8">
        <v>63.47</v>
      </c>
      <c r="O30" s="8">
        <v>100.14</v>
      </c>
      <c r="P30" s="8">
        <v>24228.59</v>
      </c>
      <c r="Q30" s="8">
        <v>38226.74</v>
      </c>
      <c r="R30" s="8">
        <v>13998.15</v>
      </c>
      <c r="S30" t="str">
        <f t="shared" si="2"/>
        <v>On Track</v>
      </c>
      <c r="T30" t="str">
        <f t="shared" si="3"/>
        <v>Healthy</v>
      </c>
    </row>
    <row r="31" spans="1:20" x14ac:dyDescent="0.45">
      <c r="A31" s="9" t="s">
        <v>114</v>
      </c>
      <c r="B31" s="9" t="s">
        <v>54</v>
      </c>
      <c r="C31" s="9" t="s">
        <v>66</v>
      </c>
      <c r="D31" t="str">
        <f t="shared" si="0"/>
        <v>Jamie White</v>
      </c>
      <c r="E31" s="1">
        <v>40185</v>
      </c>
      <c r="F31" s="9" t="s">
        <v>25</v>
      </c>
      <c r="G31" s="9" t="s">
        <v>115</v>
      </c>
      <c r="H31" s="7">
        <v>67</v>
      </c>
      <c r="I31" s="9" t="s">
        <v>21</v>
      </c>
      <c r="J31" s="12" t="str">
        <f t="shared" si="1"/>
        <v>Community Participation</v>
      </c>
      <c r="K31" s="2">
        <v>27638.639999999999</v>
      </c>
      <c r="L31" s="2">
        <v>24808.42</v>
      </c>
      <c r="M31" s="6">
        <v>0.89760000000000006</v>
      </c>
      <c r="N31" s="8">
        <v>45.36</v>
      </c>
      <c r="O31" s="8">
        <v>70.23</v>
      </c>
      <c r="P31" s="8">
        <v>16023.21</v>
      </c>
      <c r="Q31" s="8">
        <v>24808.42</v>
      </c>
      <c r="R31" s="8">
        <v>8785.2099999999991</v>
      </c>
      <c r="S31" t="str">
        <f t="shared" si="2"/>
        <v>On Track</v>
      </c>
      <c r="T31" t="str">
        <f t="shared" si="3"/>
        <v>Healthy</v>
      </c>
    </row>
    <row r="32" spans="1:20" x14ac:dyDescent="0.45">
      <c r="A32" s="9" t="s">
        <v>116</v>
      </c>
      <c r="B32" s="9" t="s">
        <v>78</v>
      </c>
      <c r="C32" s="9" t="s">
        <v>117</v>
      </c>
      <c r="D32" t="str">
        <f t="shared" si="0"/>
        <v>Rowan Walker</v>
      </c>
      <c r="E32" s="1">
        <v>33752</v>
      </c>
      <c r="F32" s="9" t="s">
        <v>19</v>
      </c>
      <c r="G32" s="9" t="s">
        <v>118</v>
      </c>
      <c r="H32" s="7">
        <v>97</v>
      </c>
      <c r="I32" s="9" t="s">
        <v>35</v>
      </c>
      <c r="J32" s="12" t="str">
        <f t="shared" si="1"/>
        <v>Support Coordination</v>
      </c>
      <c r="K32" s="2">
        <v>161584.14000000001</v>
      </c>
      <c r="L32" s="2">
        <v>142421.01999999999</v>
      </c>
      <c r="M32" s="6">
        <v>0.88139999999999996</v>
      </c>
      <c r="N32" s="8">
        <v>63.47</v>
      </c>
      <c r="O32" s="8">
        <v>100.14</v>
      </c>
      <c r="P32" s="8">
        <v>90268.25</v>
      </c>
      <c r="Q32" s="8">
        <v>142421.01999999999</v>
      </c>
      <c r="R32" s="8">
        <v>52152.78</v>
      </c>
      <c r="S32" t="str">
        <f t="shared" si="2"/>
        <v>On Track</v>
      </c>
      <c r="T32" t="str">
        <f t="shared" si="3"/>
        <v>Healthy</v>
      </c>
    </row>
    <row r="33" spans="1:20" x14ac:dyDescent="0.45">
      <c r="A33" s="9" t="s">
        <v>119</v>
      </c>
      <c r="B33" s="9" t="s">
        <v>17</v>
      </c>
      <c r="C33" s="9" t="s">
        <v>93</v>
      </c>
      <c r="D33" t="str">
        <f t="shared" si="0"/>
        <v>Casey Wilson</v>
      </c>
      <c r="E33" s="1">
        <v>39857</v>
      </c>
      <c r="F33" s="9" t="s">
        <v>25</v>
      </c>
      <c r="G33" s="9" t="s">
        <v>120</v>
      </c>
      <c r="H33" s="7">
        <v>210</v>
      </c>
      <c r="I33" s="9" t="s">
        <v>35</v>
      </c>
      <c r="J33" s="12" t="str">
        <f t="shared" si="1"/>
        <v>Support Coordination</v>
      </c>
      <c r="K33" s="2">
        <v>333207.63</v>
      </c>
      <c r="L33" s="2">
        <v>302227.98</v>
      </c>
      <c r="M33" s="6">
        <v>0.90700000000000003</v>
      </c>
      <c r="N33" s="8">
        <v>63.47</v>
      </c>
      <c r="O33" s="8">
        <v>100.14</v>
      </c>
      <c r="P33" s="8">
        <v>191555.92</v>
      </c>
      <c r="Q33" s="8">
        <v>302227.98</v>
      </c>
      <c r="R33" s="8">
        <v>110672.06</v>
      </c>
      <c r="S33" t="str">
        <f t="shared" si="2"/>
        <v>On Track</v>
      </c>
      <c r="T33" t="str">
        <f t="shared" si="3"/>
        <v>Healthy</v>
      </c>
    </row>
    <row r="34" spans="1:20" x14ac:dyDescent="0.45">
      <c r="A34" s="9" t="s">
        <v>121</v>
      </c>
      <c r="B34" s="9" t="s">
        <v>58</v>
      </c>
      <c r="C34" s="9" t="s">
        <v>81</v>
      </c>
      <c r="D34" t="str">
        <f t="shared" si="0"/>
        <v>Quinn Johnson</v>
      </c>
      <c r="E34" s="1">
        <v>40328</v>
      </c>
      <c r="F34" s="9" t="s">
        <v>30</v>
      </c>
      <c r="G34" s="9" t="s">
        <v>122</v>
      </c>
      <c r="H34" s="7">
        <v>173</v>
      </c>
      <c r="I34" s="9" t="s">
        <v>21</v>
      </c>
      <c r="J34" s="12" t="str">
        <f t="shared" si="1"/>
        <v>Community Participation</v>
      </c>
      <c r="K34" s="2">
        <v>119564.46</v>
      </c>
      <c r="L34" s="2">
        <v>115117.72</v>
      </c>
      <c r="M34" s="6">
        <v>0.96279999999999999</v>
      </c>
      <c r="N34" s="8">
        <v>45.36</v>
      </c>
      <c r="O34" s="8">
        <v>70.23</v>
      </c>
      <c r="P34" s="8">
        <v>74351.98</v>
      </c>
      <c r="Q34" s="8">
        <v>115117.72</v>
      </c>
      <c r="R34" s="8">
        <v>40765.74</v>
      </c>
      <c r="S34" t="str">
        <f t="shared" si="2"/>
        <v>On Track</v>
      </c>
      <c r="T34" t="str">
        <f t="shared" si="3"/>
        <v>Healthy</v>
      </c>
    </row>
    <row r="35" spans="1:20" x14ac:dyDescent="0.45">
      <c r="A35" s="9" t="s">
        <v>123</v>
      </c>
      <c r="B35" s="9" t="s">
        <v>17</v>
      </c>
      <c r="C35" s="9" t="s">
        <v>29</v>
      </c>
      <c r="D35" t="str">
        <f t="shared" si="0"/>
        <v>Casey Jackson</v>
      </c>
      <c r="E35" s="1">
        <v>24542</v>
      </c>
      <c r="F35" s="9" t="s">
        <v>19</v>
      </c>
      <c r="G35" s="9" t="s">
        <v>124</v>
      </c>
      <c r="H35" s="7">
        <v>216</v>
      </c>
      <c r="I35" s="9" t="s">
        <v>35</v>
      </c>
      <c r="J35" s="12" t="str">
        <f t="shared" si="1"/>
        <v>Support Coordination</v>
      </c>
      <c r="K35" s="2">
        <v>64960.45</v>
      </c>
      <c r="L35" s="2">
        <v>67601.679999999993</v>
      </c>
      <c r="M35" s="6">
        <v>1.0407</v>
      </c>
      <c r="N35" s="8">
        <v>63.47</v>
      </c>
      <c r="O35" s="8">
        <v>100.14</v>
      </c>
      <c r="P35" s="8">
        <v>42846.8</v>
      </c>
      <c r="Q35" s="8">
        <v>67601.679999999993</v>
      </c>
      <c r="R35" s="8">
        <v>24754.880000000001</v>
      </c>
      <c r="S35" t="str">
        <f t="shared" si="2"/>
        <v>Overspent</v>
      </c>
      <c r="T35" t="str">
        <f t="shared" si="3"/>
        <v>Healthy</v>
      </c>
    </row>
    <row r="36" spans="1:20" x14ac:dyDescent="0.45">
      <c r="A36" s="9" t="s">
        <v>125</v>
      </c>
      <c r="B36" s="9" t="s">
        <v>96</v>
      </c>
      <c r="C36" s="9" t="s">
        <v>66</v>
      </c>
      <c r="D36" t="str">
        <f t="shared" si="0"/>
        <v>Chris White</v>
      </c>
      <c r="E36" s="1">
        <v>33423</v>
      </c>
      <c r="F36" s="9" t="s">
        <v>19</v>
      </c>
      <c r="G36" s="9" t="s">
        <v>126</v>
      </c>
      <c r="H36" s="7">
        <v>281</v>
      </c>
      <c r="I36" s="9" t="s">
        <v>21</v>
      </c>
      <c r="J36" s="12" t="str">
        <f t="shared" si="1"/>
        <v>Community Participation</v>
      </c>
      <c r="K36" s="2">
        <v>39074.75</v>
      </c>
      <c r="L36" s="2">
        <v>42828.51</v>
      </c>
      <c r="M36" s="6">
        <v>1.0961000000000001</v>
      </c>
      <c r="N36" s="8">
        <v>45.36</v>
      </c>
      <c r="O36" s="8">
        <v>70.23</v>
      </c>
      <c r="P36" s="8">
        <v>27661.98</v>
      </c>
      <c r="Q36" s="8">
        <v>42828.51</v>
      </c>
      <c r="R36" s="8">
        <v>15166.52</v>
      </c>
      <c r="S36" t="str">
        <f t="shared" si="2"/>
        <v>Overspent</v>
      </c>
      <c r="T36" t="str">
        <f t="shared" si="3"/>
        <v>Healthy</v>
      </c>
    </row>
    <row r="37" spans="1:20" x14ac:dyDescent="0.45">
      <c r="A37" s="9" t="s">
        <v>127</v>
      </c>
      <c r="B37" s="9" t="s">
        <v>17</v>
      </c>
      <c r="C37" s="9" t="s">
        <v>81</v>
      </c>
      <c r="D37" t="str">
        <f t="shared" si="0"/>
        <v>Casey Johnson</v>
      </c>
      <c r="E37" s="1">
        <v>39633</v>
      </c>
      <c r="F37" s="9" t="s">
        <v>30</v>
      </c>
      <c r="G37" s="9" t="s">
        <v>128</v>
      </c>
      <c r="H37" s="7">
        <v>85</v>
      </c>
      <c r="I37" s="9" t="s">
        <v>21</v>
      </c>
      <c r="J37" s="12" t="str">
        <f t="shared" si="1"/>
        <v>Community Participation</v>
      </c>
      <c r="K37" s="2">
        <v>311175.46000000002</v>
      </c>
      <c r="L37" s="2">
        <v>267491</v>
      </c>
      <c r="M37" s="6">
        <v>0.85959999999999992</v>
      </c>
      <c r="N37" s="8">
        <v>45.36</v>
      </c>
      <c r="O37" s="8">
        <v>70.23</v>
      </c>
      <c r="P37" s="8">
        <v>172766.51</v>
      </c>
      <c r="Q37" s="8">
        <v>267491</v>
      </c>
      <c r="R37" s="8">
        <v>94724.49</v>
      </c>
      <c r="S37" t="str">
        <f t="shared" si="2"/>
        <v>On Track</v>
      </c>
      <c r="T37" t="str">
        <f t="shared" si="3"/>
        <v>Healthy</v>
      </c>
    </row>
    <row r="38" spans="1:20" x14ac:dyDescent="0.45">
      <c r="A38" s="9" t="s">
        <v>129</v>
      </c>
      <c r="B38" s="9" t="s">
        <v>37</v>
      </c>
      <c r="C38" s="9" t="s">
        <v>130</v>
      </c>
      <c r="D38" t="str">
        <f t="shared" si="0"/>
        <v>Charlie Clark</v>
      </c>
      <c r="E38" s="1">
        <v>34037</v>
      </c>
      <c r="F38" s="9" t="s">
        <v>19</v>
      </c>
      <c r="G38" s="9" t="s">
        <v>131</v>
      </c>
      <c r="H38" s="7">
        <v>84</v>
      </c>
      <c r="I38" s="9" t="s">
        <v>35</v>
      </c>
      <c r="J38" s="12" t="str">
        <f t="shared" si="1"/>
        <v>Support Coordination</v>
      </c>
      <c r="K38" s="2">
        <v>12153.63</v>
      </c>
      <c r="L38" s="2">
        <v>12696.14</v>
      </c>
      <c r="M38" s="6">
        <v>1.0446</v>
      </c>
      <c r="N38" s="8">
        <v>63.47</v>
      </c>
      <c r="O38" s="8">
        <v>100.14</v>
      </c>
      <c r="P38" s="8">
        <v>8046.98</v>
      </c>
      <c r="Q38" s="8">
        <v>12696.14</v>
      </c>
      <c r="R38" s="8">
        <v>4649.17</v>
      </c>
      <c r="S38" t="str">
        <f t="shared" si="2"/>
        <v>Overspent</v>
      </c>
      <c r="T38" t="str">
        <f t="shared" si="3"/>
        <v>Healthy</v>
      </c>
    </row>
    <row r="39" spans="1:20" x14ac:dyDescent="0.45">
      <c r="A39" s="9" t="s">
        <v>132</v>
      </c>
      <c r="B39" s="9" t="s">
        <v>65</v>
      </c>
      <c r="C39" s="9" t="s">
        <v>18</v>
      </c>
      <c r="D39" t="str">
        <f t="shared" si="0"/>
        <v>Harper Smith</v>
      </c>
      <c r="E39" s="1">
        <v>31057</v>
      </c>
      <c r="F39" s="9" t="s">
        <v>43</v>
      </c>
      <c r="G39" s="9" t="s">
        <v>133</v>
      </c>
      <c r="H39" s="7">
        <v>216</v>
      </c>
      <c r="I39" s="9" t="s">
        <v>35</v>
      </c>
      <c r="J39" s="12" t="str">
        <f t="shared" si="1"/>
        <v>Support Coordination</v>
      </c>
      <c r="K39" s="2">
        <v>285674.36</v>
      </c>
      <c r="L39" s="2">
        <v>291017.09000000003</v>
      </c>
      <c r="M39" s="6">
        <v>1.0186999999999999</v>
      </c>
      <c r="N39" s="8">
        <v>63.47</v>
      </c>
      <c r="O39" s="8">
        <v>100.14</v>
      </c>
      <c r="P39" s="8">
        <v>184450.32</v>
      </c>
      <c r="Q39" s="8">
        <v>291017.09000000003</v>
      </c>
      <c r="R39" s="8">
        <v>106566.77</v>
      </c>
      <c r="S39" t="str">
        <f t="shared" si="2"/>
        <v>Overspent</v>
      </c>
      <c r="T39" t="str">
        <f t="shared" si="3"/>
        <v>Healthy</v>
      </c>
    </row>
    <row r="40" spans="1:20" x14ac:dyDescent="0.45">
      <c r="A40" s="9" t="s">
        <v>134</v>
      </c>
      <c r="B40" s="9" t="s">
        <v>23</v>
      </c>
      <c r="C40" s="9" t="s">
        <v>130</v>
      </c>
      <c r="D40" t="str">
        <f t="shared" si="0"/>
        <v>Parker Clark</v>
      </c>
      <c r="E40" s="1">
        <v>23336</v>
      </c>
      <c r="F40" s="9" t="s">
        <v>19</v>
      </c>
      <c r="G40" s="9" t="s">
        <v>135</v>
      </c>
      <c r="H40" s="7">
        <v>29</v>
      </c>
      <c r="I40" s="9" t="s">
        <v>35</v>
      </c>
      <c r="J40" s="12" t="str">
        <f t="shared" si="1"/>
        <v>Support Coordination</v>
      </c>
      <c r="K40" s="2">
        <v>310795.44</v>
      </c>
      <c r="L40" s="2">
        <v>255540.17</v>
      </c>
      <c r="M40" s="6">
        <v>0.82220000000000004</v>
      </c>
      <c r="N40" s="8">
        <v>63.47</v>
      </c>
      <c r="O40" s="8">
        <v>100.14</v>
      </c>
      <c r="P40" s="8">
        <v>161964.6</v>
      </c>
      <c r="Q40" s="8">
        <v>255540.17</v>
      </c>
      <c r="R40" s="8">
        <v>93575.57</v>
      </c>
      <c r="S40" t="str">
        <f t="shared" si="2"/>
        <v>On Track</v>
      </c>
      <c r="T40" t="str">
        <f t="shared" si="3"/>
        <v>Active</v>
      </c>
    </row>
    <row r="41" spans="1:20" x14ac:dyDescent="0.45">
      <c r="A41" s="9" t="s">
        <v>136</v>
      </c>
      <c r="B41" s="9" t="s">
        <v>78</v>
      </c>
      <c r="C41" s="9" t="s">
        <v>97</v>
      </c>
      <c r="D41" t="str">
        <f t="shared" si="0"/>
        <v>Rowan Lewis</v>
      </c>
      <c r="E41" s="1">
        <v>20261</v>
      </c>
      <c r="F41" s="9" t="s">
        <v>43</v>
      </c>
      <c r="G41" s="9" t="s">
        <v>137</v>
      </c>
      <c r="H41" s="7">
        <v>299</v>
      </c>
      <c r="I41" s="9" t="s">
        <v>21</v>
      </c>
      <c r="J41" s="12" t="str">
        <f t="shared" si="1"/>
        <v>Community Participation</v>
      </c>
      <c r="K41" s="2">
        <v>149801.63</v>
      </c>
      <c r="L41" s="2">
        <v>125048.52</v>
      </c>
      <c r="M41" s="6">
        <v>0.83479999999999999</v>
      </c>
      <c r="N41" s="8">
        <v>45.36</v>
      </c>
      <c r="O41" s="8">
        <v>70.23</v>
      </c>
      <c r="P41" s="8">
        <v>80766.070000000007</v>
      </c>
      <c r="Q41" s="8">
        <v>125048.52</v>
      </c>
      <c r="R41" s="8">
        <v>44282.45</v>
      </c>
      <c r="S41" t="str">
        <f t="shared" si="2"/>
        <v>On Track</v>
      </c>
      <c r="T41" t="str">
        <f t="shared" si="3"/>
        <v>Healthy</v>
      </c>
    </row>
    <row r="42" spans="1:20" x14ac:dyDescent="0.45">
      <c r="A42" s="9" t="s">
        <v>138</v>
      </c>
      <c r="B42" s="9" t="s">
        <v>104</v>
      </c>
      <c r="C42" s="9" t="s">
        <v>139</v>
      </c>
      <c r="D42" t="str">
        <f t="shared" si="0"/>
        <v>Finley Rodriguez</v>
      </c>
      <c r="E42" s="1">
        <v>35667</v>
      </c>
      <c r="F42" s="9" t="s">
        <v>19</v>
      </c>
      <c r="G42" s="9" t="s">
        <v>140</v>
      </c>
      <c r="H42" s="7">
        <v>41</v>
      </c>
      <c r="I42" s="9" t="s">
        <v>21</v>
      </c>
      <c r="J42" s="12" t="str">
        <f t="shared" si="1"/>
        <v>Community Participation</v>
      </c>
      <c r="K42" s="2">
        <v>346610.34</v>
      </c>
      <c r="L42" s="2">
        <v>342100.74</v>
      </c>
      <c r="M42" s="6">
        <v>0.98699999999999999</v>
      </c>
      <c r="N42" s="8">
        <v>45.36</v>
      </c>
      <c r="O42" s="8">
        <v>70.23</v>
      </c>
      <c r="P42" s="8">
        <v>220955.28</v>
      </c>
      <c r="Q42" s="8">
        <v>342100.74</v>
      </c>
      <c r="R42" s="8">
        <v>121145.46</v>
      </c>
      <c r="S42" t="str">
        <f t="shared" si="2"/>
        <v>On Track</v>
      </c>
      <c r="T42" t="str">
        <f t="shared" si="3"/>
        <v>Healthy</v>
      </c>
    </row>
    <row r="43" spans="1:20" x14ac:dyDescent="0.45">
      <c r="A43" s="9" t="s">
        <v>141</v>
      </c>
      <c r="B43" s="9" t="s">
        <v>96</v>
      </c>
      <c r="C43" s="9" t="s">
        <v>24</v>
      </c>
      <c r="D43" t="str">
        <f t="shared" si="0"/>
        <v>Chris Brown</v>
      </c>
      <c r="E43" s="1">
        <v>37762</v>
      </c>
      <c r="F43" s="9" t="s">
        <v>30</v>
      </c>
      <c r="G43" s="9" t="s">
        <v>142</v>
      </c>
      <c r="H43" s="7">
        <v>61</v>
      </c>
      <c r="I43" s="9" t="s">
        <v>21</v>
      </c>
      <c r="J43" s="12" t="str">
        <f t="shared" si="1"/>
        <v>Community Participation</v>
      </c>
      <c r="K43" s="2">
        <v>139050.23000000001</v>
      </c>
      <c r="L43" s="2">
        <v>113891.52</v>
      </c>
      <c r="M43" s="6">
        <v>0.81909999999999994</v>
      </c>
      <c r="N43" s="8">
        <v>45.36</v>
      </c>
      <c r="O43" s="8">
        <v>70.23</v>
      </c>
      <c r="P43" s="8">
        <v>73560.009999999995</v>
      </c>
      <c r="Q43" s="8">
        <v>113891.52</v>
      </c>
      <c r="R43" s="8">
        <v>40331.51</v>
      </c>
      <c r="S43" t="str">
        <f t="shared" si="2"/>
        <v>On Track</v>
      </c>
      <c r="T43" t="str">
        <f t="shared" si="3"/>
        <v>Healthy</v>
      </c>
    </row>
    <row r="44" spans="1:20" x14ac:dyDescent="0.45">
      <c r="A44" s="9" t="s">
        <v>143</v>
      </c>
      <c r="B44" s="9" t="s">
        <v>78</v>
      </c>
      <c r="C44" s="9" t="s">
        <v>29</v>
      </c>
      <c r="D44" t="str">
        <f t="shared" si="0"/>
        <v>Rowan Jackson</v>
      </c>
      <c r="E44" s="1">
        <v>37234</v>
      </c>
      <c r="F44" s="9" t="s">
        <v>30</v>
      </c>
      <c r="G44" s="9" t="s">
        <v>144</v>
      </c>
      <c r="H44" s="7">
        <v>336</v>
      </c>
      <c r="I44" s="9" t="s">
        <v>21</v>
      </c>
      <c r="J44" s="12" t="str">
        <f t="shared" si="1"/>
        <v>Community Participation</v>
      </c>
      <c r="K44" s="2">
        <v>131283.10999999999</v>
      </c>
      <c r="L44" s="2">
        <v>117833.81</v>
      </c>
      <c r="M44" s="6">
        <v>0.89760000000000006</v>
      </c>
      <c r="N44" s="8">
        <v>45.36</v>
      </c>
      <c r="O44" s="8">
        <v>70.23</v>
      </c>
      <c r="P44" s="8">
        <v>76106.240000000005</v>
      </c>
      <c r="Q44" s="8">
        <v>117833.81</v>
      </c>
      <c r="R44" s="8">
        <v>41727.56</v>
      </c>
      <c r="S44" t="str">
        <f t="shared" si="2"/>
        <v>On Track</v>
      </c>
      <c r="T44" t="str">
        <f t="shared" si="3"/>
        <v>Healthy</v>
      </c>
    </row>
    <row r="45" spans="1:20" x14ac:dyDescent="0.45">
      <c r="A45" s="9" t="s">
        <v>145</v>
      </c>
      <c r="B45" s="9" t="s">
        <v>78</v>
      </c>
      <c r="C45" s="9" t="s">
        <v>117</v>
      </c>
      <c r="D45" t="str">
        <f t="shared" si="0"/>
        <v>Rowan Walker</v>
      </c>
      <c r="E45" s="1">
        <v>35394</v>
      </c>
      <c r="F45" s="9" t="s">
        <v>43</v>
      </c>
      <c r="G45" s="9" t="s">
        <v>146</v>
      </c>
      <c r="H45" s="7">
        <v>342</v>
      </c>
      <c r="I45" s="9" t="s">
        <v>35</v>
      </c>
      <c r="J45" s="12" t="str">
        <f t="shared" si="1"/>
        <v>Support Coordination</v>
      </c>
      <c r="K45" s="2">
        <v>294546.40999999997</v>
      </c>
      <c r="L45" s="2">
        <v>291974.21000000002</v>
      </c>
      <c r="M45" s="6">
        <v>0.99129999999999996</v>
      </c>
      <c r="N45" s="8">
        <v>63.47</v>
      </c>
      <c r="O45" s="8">
        <v>100.14</v>
      </c>
      <c r="P45" s="8">
        <v>185056.95</v>
      </c>
      <c r="Q45" s="8">
        <v>291974.21000000002</v>
      </c>
      <c r="R45" s="8">
        <v>106917.26</v>
      </c>
      <c r="S45" t="str">
        <f t="shared" si="2"/>
        <v>On Track</v>
      </c>
      <c r="T45" t="str">
        <f t="shared" si="3"/>
        <v>Healthy</v>
      </c>
    </row>
    <row r="46" spans="1:20" x14ac:dyDescent="0.45">
      <c r="A46" s="9" t="s">
        <v>147</v>
      </c>
      <c r="B46" s="9" t="s">
        <v>71</v>
      </c>
      <c r="C46" s="9" t="s">
        <v>29</v>
      </c>
      <c r="D46" t="str">
        <f t="shared" si="0"/>
        <v>Logan Jackson</v>
      </c>
      <c r="E46" s="1">
        <v>26967</v>
      </c>
      <c r="F46" s="9" t="s">
        <v>25</v>
      </c>
      <c r="G46" s="9" t="s">
        <v>148</v>
      </c>
      <c r="H46" s="7">
        <v>330</v>
      </c>
      <c r="I46" s="9" t="s">
        <v>21</v>
      </c>
      <c r="J46" s="12" t="str">
        <f t="shared" si="1"/>
        <v>Community Participation</v>
      </c>
      <c r="K46" s="2">
        <v>356012.97</v>
      </c>
      <c r="L46" s="2">
        <v>335244.77</v>
      </c>
      <c r="M46" s="6">
        <v>0.94169999999999998</v>
      </c>
      <c r="N46" s="8">
        <v>45.36</v>
      </c>
      <c r="O46" s="8">
        <v>70.23</v>
      </c>
      <c r="P46" s="8">
        <v>216527.16</v>
      </c>
      <c r="Q46" s="8">
        <v>335244.77</v>
      </c>
      <c r="R46" s="8">
        <v>118717.6</v>
      </c>
      <c r="S46" t="str">
        <f t="shared" si="2"/>
        <v>On Track</v>
      </c>
      <c r="T46" t="str">
        <f t="shared" si="3"/>
        <v>Healthy</v>
      </c>
    </row>
    <row r="47" spans="1:20" x14ac:dyDescent="0.45">
      <c r="A47" s="9" t="s">
        <v>149</v>
      </c>
      <c r="B47" s="9" t="s">
        <v>50</v>
      </c>
      <c r="C47" s="9" t="s">
        <v>47</v>
      </c>
      <c r="D47" t="str">
        <f t="shared" si="0"/>
        <v>Riley Robinson</v>
      </c>
      <c r="E47" s="1">
        <v>28624</v>
      </c>
      <c r="F47" s="9" t="s">
        <v>30</v>
      </c>
      <c r="G47" s="9" t="s">
        <v>150</v>
      </c>
      <c r="H47" s="7">
        <v>318</v>
      </c>
      <c r="I47" s="9" t="s">
        <v>21</v>
      </c>
      <c r="J47" s="12" t="str">
        <f t="shared" si="1"/>
        <v>Community Participation</v>
      </c>
      <c r="K47" s="2">
        <v>56641.760000000002</v>
      </c>
      <c r="L47" s="2">
        <v>57433.24</v>
      </c>
      <c r="M47" s="6">
        <v>1.014</v>
      </c>
      <c r="N47" s="8">
        <v>45.36</v>
      </c>
      <c r="O47" s="8">
        <v>70.23</v>
      </c>
      <c r="P47" s="8">
        <v>37094.85</v>
      </c>
      <c r="Q47" s="8">
        <v>57433.24</v>
      </c>
      <c r="R47" s="8">
        <v>20338.38</v>
      </c>
      <c r="S47" t="str">
        <f t="shared" si="2"/>
        <v>Overspent</v>
      </c>
      <c r="T47" t="str">
        <f t="shared" si="3"/>
        <v>Healthy</v>
      </c>
    </row>
    <row r="48" spans="1:20" x14ac:dyDescent="0.45">
      <c r="A48" s="9" t="s">
        <v>151</v>
      </c>
      <c r="B48" s="9" t="s">
        <v>78</v>
      </c>
      <c r="C48" s="9" t="s">
        <v>93</v>
      </c>
      <c r="D48" t="str">
        <f t="shared" si="0"/>
        <v>Rowan Wilson</v>
      </c>
      <c r="E48" s="1">
        <v>20664</v>
      </c>
      <c r="F48" s="9" t="s">
        <v>19</v>
      </c>
      <c r="G48" s="9" t="s">
        <v>152</v>
      </c>
      <c r="H48" s="7">
        <v>178</v>
      </c>
      <c r="I48" s="9" t="s">
        <v>35</v>
      </c>
      <c r="J48" s="12" t="str">
        <f t="shared" si="1"/>
        <v>Support Coordination</v>
      </c>
      <c r="K48" s="2">
        <v>306706.17</v>
      </c>
      <c r="L48" s="2">
        <v>297009.09000000003</v>
      </c>
      <c r="M48" s="6">
        <v>0.96840000000000004</v>
      </c>
      <c r="N48" s="8">
        <v>63.47</v>
      </c>
      <c r="O48" s="8">
        <v>100.14</v>
      </c>
      <c r="P48" s="8">
        <v>188248.12</v>
      </c>
      <c r="Q48" s="8">
        <v>297009.09000000003</v>
      </c>
      <c r="R48" s="8">
        <v>108760.97</v>
      </c>
      <c r="S48" t="str">
        <f t="shared" si="2"/>
        <v>On Track</v>
      </c>
      <c r="T48" t="str">
        <f t="shared" si="3"/>
        <v>Healthy</v>
      </c>
    </row>
    <row r="49" spans="1:20" x14ac:dyDescent="0.45">
      <c r="A49" s="9" t="s">
        <v>153</v>
      </c>
      <c r="B49" s="9" t="s">
        <v>41</v>
      </c>
      <c r="C49" s="9" t="s">
        <v>29</v>
      </c>
      <c r="D49" t="str">
        <f t="shared" si="0"/>
        <v>Taylor Jackson</v>
      </c>
      <c r="E49" s="1">
        <v>30372</v>
      </c>
      <c r="F49" s="9" t="s">
        <v>43</v>
      </c>
      <c r="G49" s="9" t="s">
        <v>154</v>
      </c>
      <c r="H49" s="7">
        <v>278</v>
      </c>
      <c r="I49" s="9" t="s">
        <v>21</v>
      </c>
      <c r="J49" s="12" t="str">
        <f t="shared" si="1"/>
        <v>Community Participation</v>
      </c>
      <c r="K49" s="2">
        <v>310677.2</v>
      </c>
      <c r="L49" s="2">
        <v>294565.07</v>
      </c>
      <c r="M49" s="6">
        <v>0.94810000000000005</v>
      </c>
      <c r="N49" s="8">
        <v>45.36</v>
      </c>
      <c r="O49" s="8">
        <v>70.23</v>
      </c>
      <c r="P49" s="8">
        <v>190253.05</v>
      </c>
      <c r="Q49" s="8">
        <v>294565.07</v>
      </c>
      <c r="R49" s="8">
        <v>104312.02</v>
      </c>
      <c r="S49" t="str">
        <f t="shared" si="2"/>
        <v>On Track</v>
      </c>
      <c r="T49" t="str">
        <f t="shared" si="3"/>
        <v>Healthy</v>
      </c>
    </row>
    <row r="50" spans="1:20" x14ac:dyDescent="0.45">
      <c r="A50" s="9" t="s">
        <v>155</v>
      </c>
      <c r="B50" s="9" t="s">
        <v>50</v>
      </c>
      <c r="C50" s="9" t="s">
        <v>51</v>
      </c>
      <c r="D50" t="str">
        <f t="shared" si="0"/>
        <v>Riley Hall</v>
      </c>
      <c r="E50" s="1">
        <v>39693</v>
      </c>
      <c r="F50" s="9" t="s">
        <v>30</v>
      </c>
      <c r="G50" s="9" t="s">
        <v>156</v>
      </c>
      <c r="H50" s="7">
        <v>53</v>
      </c>
      <c r="I50" s="9" t="s">
        <v>35</v>
      </c>
      <c r="J50" s="12" t="str">
        <f t="shared" si="1"/>
        <v>Support Coordination</v>
      </c>
      <c r="K50" s="2">
        <v>213865.8</v>
      </c>
      <c r="L50" s="2">
        <v>198523.56</v>
      </c>
      <c r="M50" s="6">
        <v>0.92830000000000001</v>
      </c>
      <c r="N50" s="8">
        <v>63.47</v>
      </c>
      <c r="O50" s="8">
        <v>100.14</v>
      </c>
      <c r="P50" s="8">
        <v>125826.75</v>
      </c>
      <c r="Q50" s="8">
        <v>198523.56</v>
      </c>
      <c r="R50" s="8">
        <v>72696.820000000007</v>
      </c>
      <c r="S50" t="str">
        <f t="shared" si="2"/>
        <v>On Track</v>
      </c>
      <c r="T50" t="str">
        <f t="shared" si="3"/>
        <v>Healthy</v>
      </c>
    </row>
    <row r="51" spans="1:20" x14ac:dyDescent="0.45">
      <c r="A51" s="9" t="s">
        <v>157</v>
      </c>
      <c r="B51" s="9" t="s">
        <v>75</v>
      </c>
      <c r="C51" s="9" t="s">
        <v>66</v>
      </c>
      <c r="D51" t="str">
        <f t="shared" si="0"/>
        <v>Sam White</v>
      </c>
      <c r="E51" s="1">
        <v>22046</v>
      </c>
      <c r="F51" s="9" t="s">
        <v>30</v>
      </c>
      <c r="G51" s="9" t="s">
        <v>158</v>
      </c>
      <c r="H51" s="7">
        <v>144</v>
      </c>
      <c r="I51" s="9" t="s">
        <v>21</v>
      </c>
      <c r="J51" s="12" t="str">
        <f t="shared" si="1"/>
        <v>Community Participation</v>
      </c>
      <c r="K51" s="2">
        <v>19913.46</v>
      </c>
      <c r="L51" s="2">
        <v>16575.32</v>
      </c>
      <c r="M51" s="6">
        <v>0.83239999999999992</v>
      </c>
      <c r="N51" s="8">
        <v>45.36</v>
      </c>
      <c r="O51" s="8">
        <v>70.23</v>
      </c>
      <c r="P51" s="8">
        <v>10705.63</v>
      </c>
      <c r="Q51" s="8">
        <v>16575.32</v>
      </c>
      <c r="R51" s="8">
        <v>5869.69</v>
      </c>
      <c r="S51" t="str">
        <f t="shared" si="2"/>
        <v>On Track</v>
      </c>
      <c r="T51" t="str">
        <f t="shared" si="3"/>
        <v>Healthy</v>
      </c>
    </row>
    <row r="52" spans="1:20" x14ac:dyDescent="0.45">
      <c r="A52" s="9" t="s">
        <v>159</v>
      </c>
      <c r="B52" s="9" t="s">
        <v>84</v>
      </c>
      <c r="C52" s="9" t="s">
        <v>72</v>
      </c>
      <c r="D52" t="str">
        <f t="shared" si="0"/>
        <v>Drew Thomas</v>
      </c>
      <c r="E52" s="1">
        <v>29499</v>
      </c>
      <c r="F52" s="9" t="s">
        <v>19</v>
      </c>
      <c r="G52" s="9" t="s">
        <v>160</v>
      </c>
      <c r="H52" s="7">
        <v>250</v>
      </c>
      <c r="I52" s="9" t="s">
        <v>35</v>
      </c>
      <c r="J52" s="12" t="str">
        <f t="shared" si="1"/>
        <v>Support Coordination</v>
      </c>
      <c r="K52" s="2">
        <v>22257.38</v>
      </c>
      <c r="L52" s="2">
        <v>22055.35</v>
      </c>
      <c r="M52" s="6">
        <v>0.9909</v>
      </c>
      <c r="N52" s="8">
        <v>63.47</v>
      </c>
      <c r="O52" s="8">
        <v>100.14</v>
      </c>
      <c r="P52" s="8">
        <v>13978.96</v>
      </c>
      <c r="Q52" s="8">
        <v>22055.35</v>
      </c>
      <c r="R52" s="8">
        <v>8076.39</v>
      </c>
      <c r="S52" t="str">
        <f t="shared" si="2"/>
        <v>On Track</v>
      </c>
      <c r="T52" t="str">
        <f t="shared" si="3"/>
        <v>Healthy</v>
      </c>
    </row>
    <row r="53" spans="1:20" x14ac:dyDescent="0.45">
      <c r="A53" s="9" t="s">
        <v>161</v>
      </c>
      <c r="B53" s="9" t="s">
        <v>62</v>
      </c>
      <c r="C53" s="9" t="s">
        <v>81</v>
      </c>
      <c r="D53" t="str">
        <f t="shared" si="0"/>
        <v>Morgan Johnson</v>
      </c>
      <c r="E53" s="1">
        <v>21288</v>
      </c>
      <c r="F53" s="9" t="s">
        <v>25</v>
      </c>
      <c r="G53" s="9" t="s">
        <v>162</v>
      </c>
      <c r="H53" s="7">
        <v>1</v>
      </c>
      <c r="I53" s="9" t="s">
        <v>35</v>
      </c>
      <c r="J53" s="12" t="str">
        <f t="shared" si="1"/>
        <v>Support Coordination</v>
      </c>
      <c r="K53" s="2">
        <v>132598.82999999999</v>
      </c>
      <c r="L53" s="2">
        <v>126309.83</v>
      </c>
      <c r="M53" s="6">
        <v>0.9526</v>
      </c>
      <c r="N53" s="8">
        <v>63.47</v>
      </c>
      <c r="O53" s="8">
        <v>100.14</v>
      </c>
      <c r="P53" s="8">
        <v>80056.77</v>
      </c>
      <c r="Q53" s="8">
        <v>126309.83</v>
      </c>
      <c r="R53" s="8">
        <v>46253.06</v>
      </c>
      <c r="S53" t="str">
        <f t="shared" si="2"/>
        <v>On Track</v>
      </c>
      <c r="T53" t="str">
        <f t="shared" si="3"/>
        <v>Expiring</v>
      </c>
    </row>
    <row r="54" spans="1:20" x14ac:dyDescent="0.45">
      <c r="A54" s="9" t="s">
        <v>163</v>
      </c>
      <c r="B54" s="9" t="s">
        <v>71</v>
      </c>
      <c r="C54" s="9" t="s">
        <v>41</v>
      </c>
      <c r="D54" t="str">
        <f t="shared" si="0"/>
        <v>Logan Taylor</v>
      </c>
      <c r="E54" s="1">
        <v>39140</v>
      </c>
      <c r="F54" s="9" t="s">
        <v>43</v>
      </c>
      <c r="G54" s="9" t="s">
        <v>164</v>
      </c>
      <c r="H54" s="7">
        <v>226</v>
      </c>
      <c r="I54" s="9" t="s">
        <v>21</v>
      </c>
      <c r="J54" s="12" t="str">
        <f t="shared" si="1"/>
        <v>Community Participation</v>
      </c>
      <c r="K54" s="2">
        <v>363950.92</v>
      </c>
      <c r="L54" s="2">
        <v>318379.78000000003</v>
      </c>
      <c r="M54" s="6">
        <v>0.87480000000000002</v>
      </c>
      <c r="N54" s="8">
        <v>45.36</v>
      </c>
      <c r="O54" s="8">
        <v>70.23</v>
      </c>
      <c r="P54" s="8">
        <v>205634.44</v>
      </c>
      <c r="Q54" s="8">
        <v>318379.78000000003</v>
      </c>
      <c r="R54" s="8">
        <v>112745.34</v>
      </c>
      <c r="S54" t="str">
        <f t="shared" si="2"/>
        <v>On Track</v>
      </c>
      <c r="T54" t="str">
        <f t="shared" si="3"/>
        <v>Healthy</v>
      </c>
    </row>
    <row r="55" spans="1:20" x14ac:dyDescent="0.45">
      <c r="A55" s="9" t="s">
        <v>165</v>
      </c>
      <c r="B55" s="9" t="s">
        <v>23</v>
      </c>
      <c r="C55" s="9" t="s">
        <v>33</v>
      </c>
      <c r="D55" t="str">
        <f t="shared" si="0"/>
        <v>Parker Martinez</v>
      </c>
      <c r="E55" s="1">
        <v>36643</v>
      </c>
      <c r="F55" s="9" t="s">
        <v>30</v>
      </c>
      <c r="G55" s="9" t="s">
        <v>166</v>
      </c>
      <c r="H55" s="7">
        <v>353</v>
      </c>
      <c r="I55" s="9" t="s">
        <v>21</v>
      </c>
      <c r="J55" s="12" t="str">
        <f t="shared" si="1"/>
        <v>Community Participation</v>
      </c>
      <c r="K55" s="2">
        <v>170049.34</v>
      </c>
      <c r="L55" s="2">
        <v>174583.76</v>
      </c>
      <c r="M55" s="6">
        <v>1.0266999999999999</v>
      </c>
      <c r="N55" s="8">
        <v>45.36</v>
      </c>
      <c r="O55" s="8">
        <v>70.23</v>
      </c>
      <c r="P55" s="8">
        <v>112759.78</v>
      </c>
      <c r="Q55" s="8">
        <v>174583.76</v>
      </c>
      <c r="R55" s="8">
        <v>61823.98</v>
      </c>
      <c r="S55" t="str">
        <f t="shared" si="2"/>
        <v>Overspent</v>
      </c>
      <c r="T55" t="str">
        <f t="shared" si="3"/>
        <v>Healthy</v>
      </c>
    </row>
    <row r="56" spans="1:20" x14ac:dyDescent="0.45">
      <c r="A56" s="9" t="s">
        <v>167</v>
      </c>
      <c r="B56" s="9" t="s">
        <v>75</v>
      </c>
      <c r="C56" s="9" t="s">
        <v>97</v>
      </c>
      <c r="D56" t="str">
        <f t="shared" si="0"/>
        <v>Sam Lewis</v>
      </c>
      <c r="E56" s="1">
        <v>19444</v>
      </c>
      <c r="F56" s="9" t="s">
        <v>43</v>
      </c>
      <c r="G56" s="9" t="s">
        <v>168</v>
      </c>
      <c r="H56" s="7">
        <v>65</v>
      </c>
      <c r="I56" s="9" t="s">
        <v>21</v>
      </c>
      <c r="J56" s="12" t="str">
        <f t="shared" si="1"/>
        <v>Community Participation</v>
      </c>
      <c r="K56" s="2">
        <v>99231.28</v>
      </c>
      <c r="L56" s="2">
        <v>81676.67</v>
      </c>
      <c r="M56" s="6">
        <v>0.82310000000000005</v>
      </c>
      <c r="N56" s="8">
        <v>45.36</v>
      </c>
      <c r="O56" s="8">
        <v>70.23</v>
      </c>
      <c r="P56" s="8">
        <v>52753.15</v>
      </c>
      <c r="Q56" s="8">
        <v>81676.67</v>
      </c>
      <c r="R56" s="8">
        <v>28923.52</v>
      </c>
      <c r="S56" t="str">
        <f t="shared" si="2"/>
        <v>On Track</v>
      </c>
      <c r="T56" t="str">
        <f t="shared" si="3"/>
        <v>Healthy</v>
      </c>
    </row>
    <row r="57" spans="1:20" x14ac:dyDescent="0.45">
      <c r="A57" s="9" t="s">
        <v>169</v>
      </c>
      <c r="B57" s="9" t="s">
        <v>46</v>
      </c>
      <c r="C57" s="9" t="s">
        <v>55</v>
      </c>
      <c r="D57" t="str">
        <f t="shared" si="0"/>
        <v>Jordan Harris</v>
      </c>
      <c r="E57" s="1">
        <v>30212</v>
      </c>
      <c r="F57" s="9" t="s">
        <v>30</v>
      </c>
      <c r="G57" s="9" t="s">
        <v>170</v>
      </c>
      <c r="H57" s="7">
        <v>349</v>
      </c>
      <c r="I57" s="9" t="s">
        <v>35</v>
      </c>
      <c r="J57" s="12" t="str">
        <f t="shared" si="1"/>
        <v>Support Coordination</v>
      </c>
      <c r="K57" s="2">
        <v>123003.07</v>
      </c>
      <c r="L57" s="2">
        <v>104351.67</v>
      </c>
      <c r="M57" s="6">
        <v>0.84840000000000004</v>
      </c>
      <c r="N57" s="8">
        <v>63.47</v>
      </c>
      <c r="O57" s="8">
        <v>100.14</v>
      </c>
      <c r="P57" s="8">
        <v>66139.41</v>
      </c>
      <c r="Q57" s="8">
        <v>104351.67</v>
      </c>
      <c r="R57" s="8">
        <v>38212.26</v>
      </c>
      <c r="S57" t="str">
        <f t="shared" si="2"/>
        <v>On Track</v>
      </c>
      <c r="T57" t="str">
        <f t="shared" si="3"/>
        <v>Healthy</v>
      </c>
    </row>
    <row r="58" spans="1:20" x14ac:dyDescent="0.45">
      <c r="A58" s="9" t="s">
        <v>171</v>
      </c>
      <c r="B58" s="9" t="s">
        <v>54</v>
      </c>
      <c r="C58" s="9" t="s">
        <v>93</v>
      </c>
      <c r="D58" t="str">
        <f t="shared" si="0"/>
        <v>Jamie Wilson</v>
      </c>
      <c r="E58" s="1">
        <v>29853</v>
      </c>
      <c r="F58" s="9" t="s">
        <v>25</v>
      </c>
      <c r="G58" s="9" t="s">
        <v>172</v>
      </c>
      <c r="H58" s="7">
        <v>83</v>
      </c>
      <c r="I58" s="9" t="s">
        <v>21</v>
      </c>
      <c r="J58" s="12" t="str">
        <f t="shared" si="1"/>
        <v>Community Participation</v>
      </c>
      <c r="K58" s="2">
        <v>372582.08</v>
      </c>
      <c r="L58" s="2">
        <v>388393.02</v>
      </c>
      <c r="M58" s="6">
        <v>1.0424</v>
      </c>
      <c r="N58" s="8">
        <v>45.36</v>
      </c>
      <c r="O58" s="8">
        <v>70.23</v>
      </c>
      <c r="P58" s="8">
        <v>250854.44</v>
      </c>
      <c r="Q58" s="8">
        <v>388393.02</v>
      </c>
      <c r="R58" s="8">
        <v>137538.57999999999</v>
      </c>
      <c r="S58" t="str">
        <f t="shared" si="2"/>
        <v>Overspent</v>
      </c>
      <c r="T58" t="str">
        <f t="shared" si="3"/>
        <v>Healthy</v>
      </c>
    </row>
    <row r="59" spans="1:20" x14ac:dyDescent="0.45">
      <c r="A59" s="9" t="s">
        <v>173</v>
      </c>
      <c r="B59" s="9" t="s">
        <v>96</v>
      </c>
      <c r="C59" s="9" t="s">
        <v>33</v>
      </c>
      <c r="D59" t="str">
        <f t="shared" si="0"/>
        <v>Chris Martinez</v>
      </c>
      <c r="E59" s="1">
        <v>19076</v>
      </c>
      <c r="F59" s="9" t="s">
        <v>19</v>
      </c>
      <c r="G59" s="9" t="s">
        <v>174</v>
      </c>
      <c r="H59" s="7">
        <v>342</v>
      </c>
      <c r="I59" s="9" t="s">
        <v>35</v>
      </c>
      <c r="J59" s="12" t="str">
        <f t="shared" si="1"/>
        <v>Support Coordination</v>
      </c>
      <c r="K59" s="2">
        <v>257027.47</v>
      </c>
      <c r="L59" s="2">
        <v>272818.76</v>
      </c>
      <c r="M59" s="6">
        <v>1.0613999999999999</v>
      </c>
      <c r="N59" s="8">
        <v>63.47</v>
      </c>
      <c r="O59" s="8">
        <v>100.14</v>
      </c>
      <c r="P59" s="8">
        <v>172915.99</v>
      </c>
      <c r="Q59" s="8">
        <v>272818.76</v>
      </c>
      <c r="R59" s="8">
        <v>99902.78</v>
      </c>
      <c r="S59" t="str">
        <f t="shared" si="2"/>
        <v>Overspent</v>
      </c>
      <c r="T59" t="str">
        <f t="shared" si="3"/>
        <v>Healthy</v>
      </c>
    </row>
    <row r="60" spans="1:20" x14ac:dyDescent="0.45">
      <c r="A60" s="9" t="s">
        <v>175</v>
      </c>
      <c r="B60" s="9" t="s">
        <v>54</v>
      </c>
      <c r="C60" s="9" t="s">
        <v>66</v>
      </c>
      <c r="D60" t="str">
        <f t="shared" si="0"/>
        <v>Jamie White</v>
      </c>
      <c r="E60" s="1">
        <v>23480</v>
      </c>
      <c r="F60" s="9" t="s">
        <v>30</v>
      </c>
      <c r="G60" s="9" t="s">
        <v>176</v>
      </c>
      <c r="H60" s="7">
        <v>240</v>
      </c>
      <c r="I60" s="9" t="s">
        <v>35</v>
      </c>
      <c r="J60" s="12" t="str">
        <f t="shared" si="1"/>
        <v>Support Coordination</v>
      </c>
      <c r="K60" s="2">
        <v>323432.11</v>
      </c>
      <c r="L60" s="2">
        <v>276848.51</v>
      </c>
      <c r="M60" s="6">
        <v>0.85599999999999998</v>
      </c>
      <c r="N60" s="8">
        <v>63.47</v>
      </c>
      <c r="O60" s="8">
        <v>100.14</v>
      </c>
      <c r="P60" s="8">
        <v>175470.09</v>
      </c>
      <c r="Q60" s="8">
        <v>276848.51</v>
      </c>
      <c r="R60" s="8">
        <v>101378.42</v>
      </c>
      <c r="S60" t="str">
        <f t="shared" si="2"/>
        <v>On Track</v>
      </c>
      <c r="T60" t="str">
        <f t="shared" si="3"/>
        <v>Healthy</v>
      </c>
    </row>
    <row r="61" spans="1:20" x14ac:dyDescent="0.45">
      <c r="A61" s="9" t="s">
        <v>177</v>
      </c>
      <c r="B61" s="9" t="s">
        <v>54</v>
      </c>
      <c r="C61" s="9" t="s">
        <v>72</v>
      </c>
      <c r="D61" t="str">
        <f t="shared" si="0"/>
        <v>Jamie Thomas</v>
      </c>
      <c r="E61" s="1">
        <v>33347</v>
      </c>
      <c r="F61" s="9" t="s">
        <v>43</v>
      </c>
      <c r="G61" s="9" t="s">
        <v>178</v>
      </c>
      <c r="H61" s="7">
        <v>114</v>
      </c>
      <c r="I61" s="9" t="s">
        <v>35</v>
      </c>
      <c r="J61" s="12" t="str">
        <f t="shared" si="1"/>
        <v>Support Coordination</v>
      </c>
      <c r="K61" s="2">
        <v>358098.01</v>
      </c>
      <c r="L61" s="2">
        <v>344419.62</v>
      </c>
      <c r="M61" s="6">
        <v>0.9618000000000001</v>
      </c>
      <c r="N61" s="8">
        <v>63.47</v>
      </c>
      <c r="O61" s="8">
        <v>100.14</v>
      </c>
      <c r="P61" s="8">
        <v>218297.52</v>
      </c>
      <c r="Q61" s="8">
        <v>344419.62</v>
      </c>
      <c r="R61" s="8">
        <v>126122.1</v>
      </c>
      <c r="S61" t="str">
        <f t="shared" si="2"/>
        <v>On Track</v>
      </c>
      <c r="T61" t="str">
        <f t="shared" si="3"/>
        <v>Healthy</v>
      </c>
    </row>
    <row r="62" spans="1:20" x14ac:dyDescent="0.45">
      <c r="A62" s="9" t="s">
        <v>179</v>
      </c>
      <c r="B62" s="9" t="s">
        <v>180</v>
      </c>
      <c r="C62" s="9" t="s">
        <v>72</v>
      </c>
      <c r="D62" t="str">
        <f t="shared" si="0"/>
        <v>Alex Thomas</v>
      </c>
      <c r="E62" s="1">
        <v>31320</v>
      </c>
      <c r="F62" s="9" t="s">
        <v>43</v>
      </c>
      <c r="G62" s="9" t="s">
        <v>181</v>
      </c>
      <c r="H62" s="7">
        <v>142</v>
      </c>
      <c r="I62" s="9" t="s">
        <v>35</v>
      </c>
      <c r="J62" s="12" t="str">
        <f t="shared" si="1"/>
        <v>Support Coordination</v>
      </c>
      <c r="K62" s="2">
        <v>324901.65999999997</v>
      </c>
      <c r="L62" s="2">
        <v>347263.79</v>
      </c>
      <c r="M62" s="6">
        <v>1.0688</v>
      </c>
      <c r="N62" s="8">
        <v>63.47</v>
      </c>
      <c r="O62" s="8">
        <v>100.14</v>
      </c>
      <c r="P62" s="8">
        <v>220100.19</v>
      </c>
      <c r="Q62" s="8">
        <v>347263.79</v>
      </c>
      <c r="R62" s="8">
        <v>127163.6</v>
      </c>
      <c r="S62" t="str">
        <f t="shared" si="2"/>
        <v>Overspent</v>
      </c>
      <c r="T62" t="str">
        <f t="shared" si="3"/>
        <v>Healthy</v>
      </c>
    </row>
    <row r="63" spans="1:20" x14ac:dyDescent="0.45">
      <c r="A63" s="9" t="s">
        <v>182</v>
      </c>
      <c r="B63" s="9" t="s">
        <v>183</v>
      </c>
      <c r="C63" s="9" t="s">
        <v>139</v>
      </c>
      <c r="D63" t="str">
        <f t="shared" si="0"/>
        <v>Avery Rodriguez</v>
      </c>
      <c r="E63" s="1">
        <v>31360</v>
      </c>
      <c r="F63" s="9" t="s">
        <v>43</v>
      </c>
      <c r="G63" s="9" t="s">
        <v>184</v>
      </c>
      <c r="H63" s="7">
        <v>133</v>
      </c>
      <c r="I63" s="9" t="s">
        <v>21</v>
      </c>
      <c r="J63" s="12" t="str">
        <f t="shared" si="1"/>
        <v>Community Participation</v>
      </c>
      <c r="K63" s="2">
        <v>134021.35999999999</v>
      </c>
      <c r="L63" s="2">
        <v>111641.88</v>
      </c>
      <c r="M63" s="6">
        <v>0.83299999999999996</v>
      </c>
      <c r="N63" s="8">
        <v>45.36</v>
      </c>
      <c r="O63" s="8">
        <v>70.23</v>
      </c>
      <c r="P63" s="8">
        <v>72107.009999999995</v>
      </c>
      <c r="Q63" s="8">
        <v>111641.88</v>
      </c>
      <c r="R63" s="8">
        <v>39534.86</v>
      </c>
      <c r="S63" t="str">
        <f t="shared" si="2"/>
        <v>On Track</v>
      </c>
      <c r="T63" t="str">
        <f t="shared" si="3"/>
        <v>Healthy</v>
      </c>
    </row>
    <row r="64" spans="1:20" x14ac:dyDescent="0.45">
      <c r="A64" s="9" t="s">
        <v>185</v>
      </c>
      <c r="B64" s="9" t="s">
        <v>96</v>
      </c>
      <c r="C64" s="9" t="s">
        <v>117</v>
      </c>
      <c r="D64" t="str">
        <f t="shared" si="0"/>
        <v>Chris Walker</v>
      </c>
      <c r="E64" s="1">
        <v>26962</v>
      </c>
      <c r="F64" s="9" t="s">
        <v>30</v>
      </c>
      <c r="G64" s="9" t="s">
        <v>186</v>
      </c>
      <c r="H64" s="7">
        <v>222</v>
      </c>
      <c r="I64" s="9" t="s">
        <v>21</v>
      </c>
      <c r="J64" s="12" t="str">
        <f t="shared" si="1"/>
        <v>Community Participation</v>
      </c>
      <c r="K64" s="2">
        <v>98894.71</v>
      </c>
      <c r="L64" s="2">
        <v>91787.38</v>
      </c>
      <c r="M64" s="6">
        <v>0.92810000000000004</v>
      </c>
      <c r="N64" s="8">
        <v>45.36</v>
      </c>
      <c r="O64" s="8">
        <v>70.23</v>
      </c>
      <c r="P64" s="8">
        <v>59283.43</v>
      </c>
      <c r="Q64" s="8">
        <v>91787.38</v>
      </c>
      <c r="R64" s="8">
        <v>32503.95</v>
      </c>
      <c r="S64" t="str">
        <f t="shared" si="2"/>
        <v>On Track</v>
      </c>
      <c r="T64" t="str">
        <f t="shared" si="3"/>
        <v>Healthy</v>
      </c>
    </row>
    <row r="65" spans="1:20" x14ac:dyDescent="0.45">
      <c r="A65" s="9" t="s">
        <v>187</v>
      </c>
      <c r="B65" s="9" t="s">
        <v>183</v>
      </c>
      <c r="C65" s="9" t="s">
        <v>38</v>
      </c>
      <c r="D65" t="str">
        <f t="shared" si="0"/>
        <v>Avery Martin</v>
      </c>
      <c r="E65" s="1">
        <v>32563</v>
      </c>
      <c r="F65" s="9" t="s">
        <v>30</v>
      </c>
      <c r="G65" s="9" t="s">
        <v>188</v>
      </c>
      <c r="H65" s="7">
        <v>97</v>
      </c>
      <c r="I65" s="9" t="s">
        <v>35</v>
      </c>
      <c r="J65" s="12" t="str">
        <f t="shared" si="1"/>
        <v>Support Coordination</v>
      </c>
      <c r="K65" s="2">
        <v>329025.76</v>
      </c>
      <c r="L65" s="2">
        <v>348181.37</v>
      </c>
      <c r="M65" s="6">
        <v>1.0582</v>
      </c>
      <c r="N65" s="8">
        <v>63.47</v>
      </c>
      <c r="O65" s="8">
        <v>100.14</v>
      </c>
      <c r="P65" s="8">
        <v>220681.76</v>
      </c>
      <c r="Q65" s="8">
        <v>348181.37</v>
      </c>
      <c r="R65" s="8">
        <v>127499.61</v>
      </c>
      <c r="S65" t="str">
        <f t="shared" si="2"/>
        <v>Overspent</v>
      </c>
      <c r="T65" t="str">
        <f t="shared" si="3"/>
        <v>Healthy</v>
      </c>
    </row>
    <row r="66" spans="1:20" x14ac:dyDescent="0.45">
      <c r="A66" s="9" t="s">
        <v>189</v>
      </c>
      <c r="B66" s="9" t="s">
        <v>62</v>
      </c>
      <c r="C66" s="9" t="s">
        <v>81</v>
      </c>
      <c r="D66" t="str">
        <f t="shared" si="0"/>
        <v>Morgan Johnson</v>
      </c>
      <c r="E66" s="1">
        <v>32552</v>
      </c>
      <c r="F66" s="9" t="s">
        <v>30</v>
      </c>
      <c r="G66" s="9" t="s">
        <v>190</v>
      </c>
      <c r="H66" s="7">
        <v>220</v>
      </c>
      <c r="I66" s="9" t="s">
        <v>21</v>
      </c>
      <c r="J66" s="12" t="str">
        <f t="shared" si="1"/>
        <v>Community Participation</v>
      </c>
      <c r="K66" s="2">
        <v>12711.33</v>
      </c>
      <c r="L66" s="2">
        <v>12116.75</v>
      </c>
      <c r="M66" s="6">
        <v>0.95319999999999994</v>
      </c>
      <c r="N66" s="8">
        <v>45.36</v>
      </c>
      <c r="O66" s="8">
        <v>70.23</v>
      </c>
      <c r="P66" s="8">
        <v>7825.94</v>
      </c>
      <c r="Q66" s="8">
        <v>12116.75</v>
      </c>
      <c r="R66" s="8">
        <v>4290.8100000000004</v>
      </c>
      <c r="S66" t="str">
        <f t="shared" si="2"/>
        <v>On Track</v>
      </c>
      <c r="T66" t="str">
        <f t="shared" si="3"/>
        <v>Healthy</v>
      </c>
    </row>
    <row r="67" spans="1:20" x14ac:dyDescent="0.45">
      <c r="A67" s="9" t="s">
        <v>191</v>
      </c>
      <c r="B67" s="9" t="s">
        <v>41</v>
      </c>
      <c r="C67" s="9" t="s">
        <v>38</v>
      </c>
      <c r="D67" t="str">
        <f t="shared" ref="D67:D101" si="4">_xlfn.TEXTJOIN(" ",TRUE,B67,C67)</f>
        <v>Taylor Martin</v>
      </c>
      <c r="E67" s="1">
        <v>38683</v>
      </c>
      <c r="F67" s="9" t="s">
        <v>43</v>
      </c>
      <c r="G67" s="9" t="s">
        <v>192</v>
      </c>
      <c r="H67" s="7">
        <v>153</v>
      </c>
      <c r="I67" s="9" t="s">
        <v>21</v>
      </c>
      <c r="J67" s="12" t="str">
        <f t="shared" ref="J67:J101" si="5">IF(I67="Assistance with Social, Economic and Community Participation",
"Community Participation",
"Support Coordination")</f>
        <v>Community Participation</v>
      </c>
      <c r="K67" s="2">
        <v>172790.29</v>
      </c>
      <c r="L67" s="2">
        <v>149745.65</v>
      </c>
      <c r="M67" s="6">
        <v>0.86659999999999993</v>
      </c>
      <c r="N67" s="8">
        <v>45.36</v>
      </c>
      <c r="O67" s="8">
        <v>70.23</v>
      </c>
      <c r="P67" s="8">
        <v>96717.4</v>
      </c>
      <c r="Q67" s="8">
        <v>149745.65</v>
      </c>
      <c r="R67" s="8">
        <v>53028.26</v>
      </c>
      <c r="S67" t="str">
        <f t="shared" ref="S67:S101" si="6">IF(M67&gt;1, "Overspent", IF(M67&gt;=0.8, "On Track", "Underspent"))</f>
        <v>On Track</v>
      </c>
      <c r="T67" t="str">
        <f t="shared" ref="T67:T101" si="7">IF(H67&lt;15,"Expiring",IF(H67&lt;=30,"Active","Healthy"))</f>
        <v>Healthy</v>
      </c>
    </row>
    <row r="68" spans="1:20" x14ac:dyDescent="0.45">
      <c r="A68" s="9" t="s">
        <v>193</v>
      </c>
      <c r="B68" s="9" t="s">
        <v>92</v>
      </c>
      <c r="C68" s="9" t="s">
        <v>55</v>
      </c>
      <c r="D68" t="str">
        <f t="shared" si="4"/>
        <v>Elliot Harris</v>
      </c>
      <c r="E68" s="1">
        <v>40116</v>
      </c>
      <c r="F68" s="9" t="s">
        <v>25</v>
      </c>
      <c r="G68" s="9" t="s">
        <v>194</v>
      </c>
      <c r="H68" s="7">
        <v>356</v>
      </c>
      <c r="I68" s="9" t="s">
        <v>35</v>
      </c>
      <c r="J68" s="12" t="str">
        <f t="shared" si="5"/>
        <v>Support Coordination</v>
      </c>
      <c r="K68" s="2">
        <v>56747.49</v>
      </c>
      <c r="L68" s="2">
        <v>51145.64</v>
      </c>
      <c r="M68" s="6">
        <v>0.90129999999999999</v>
      </c>
      <c r="N68" s="8">
        <v>63.47</v>
      </c>
      <c r="O68" s="8">
        <v>100.14</v>
      </c>
      <c r="P68" s="8">
        <v>32416.75</v>
      </c>
      <c r="Q68" s="8">
        <v>51145.64</v>
      </c>
      <c r="R68" s="8">
        <v>18728.89</v>
      </c>
      <c r="S68" t="str">
        <f t="shared" si="6"/>
        <v>On Track</v>
      </c>
      <c r="T68" t="str">
        <f t="shared" si="7"/>
        <v>Healthy</v>
      </c>
    </row>
    <row r="69" spans="1:20" x14ac:dyDescent="0.45">
      <c r="A69" s="9" t="s">
        <v>195</v>
      </c>
      <c r="B69" s="9" t="s">
        <v>50</v>
      </c>
      <c r="C69" s="9" t="s">
        <v>97</v>
      </c>
      <c r="D69" t="str">
        <f t="shared" si="4"/>
        <v>Riley Lewis</v>
      </c>
      <c r="E69" s="1">
        <v>22434</v>
      </c>
      <c r="F69" s="9" t="s">
        <v>19</v>
      </c>
      <c r="G69" s="9" t="s">
        <v>196</v>
      </c>
      <c r="H69" s="7">
        <v>194</v>
      </c>
      <c r="I69" s="9" t="s">
        <v>35</v>
      </c>
      <c r="J69" s="12" t="str">
        <f t="shared" si="5"/>
        <v>Support Coordination</v>
      </c>
      <c r="K69" s="2">
        <v>377734.78</v>
      </c>
      <c r="L69" s="2">
        <v>338813.32</v>
      </c>
      <c r="M69" s="6">
        <v>0.89700000000000002</v>
      </c>
      <c r="N69" s="8">
        <v>63.47</v>
      </c>
      <c r="O69" s="8">
        <v>100.14</v>
      </c>
      <c r="P69" s="8">
        <v>214744.18</v>
      </c>
      <c r="Q69" s="8">
        <v>338813.32</v>
      </c>
      <c r="R69" s="8">
        <v>124069.15</v>
      </c>
      <c r="S69" t="str">
        <f t="shared" si="6"/>
        <v>On Track</v>
      </c>
      <c r="T69" t="str">
        <f t="shared" si="7"/>
        <v>Healthy</v>
      </c>
    </row>
    <row r="70" spans="1:20" x14ac:dyDescent="0.45">
      <c r="A70" s="9" t="s">
        <v>197</v>
      </c>
      <c r="B70" s="9" t="s">
        <v>96</v>
      </c>
      <c r="C70" s="9" t="s">
        <v>51</v>
      </c>
      <c r="D70" t="str">
        <f t="shared" si="4"/>
        <v>Chris Hall</v>
      </c>
      <c r="E70" s="1">
        <v>36912</v>
      </c>
      <c r="F70" s="9" t="s">
        <v>43</v>
      </c>
      <c r="G70" s="9" t="s">
        <v>198</v>
      </c>
      <c r="H70" s="7">
        <v>0</v>
      </c>
      <c r="I70" s="9" t="s">
        <v>35</v>
      </c>
      <c r="J70" s="12" t="str">
        <f t="shared" si="5"/>
        <v>Support Coordination</v>
      </c>
      <c r="K70" s="2">
        <v>212328.34</v>
      </c>
      <c r="L70" s="2">
        <v>214643.93</v>
      </c>
      <c r="M70" s="6">
        <v>1.0109000000000001</v>
      </c>
      <c r="N70" s="8">
        <v>63.47</v>
      </c>
      <c r="O70" s="8">
        <v>100.14</v>
      </c>
      <c r="P70" s="8">
        <v>136044.04</v>
      </c>
      <c r="Q70" s="8">
        <v>214643.93</v>
      </c>
      <c r="R70" s="8">
        <v>78599.89</v>
      </c>
      <c r="S70" t="str">
        <f t="shared" si="6"/>
        <v>Overspent</v>
      </c>
      <c r="T70" t="str">
        <f t="shared" si="7"/>
        <v>Expiring</v>
      </c>
    </row>
    <row r="71" spans="1:20" x14ac:dyDescent="0.45">
      <c r="A71" s="9" t="s">
        <v>199</v>
      </c>
      <c r="B71" s="9" t="s">
        <v>50</v>
      </c>
      <c r="C71" s="9" t="s">
        <v>55</v>
      </c>
      <c r="D71" t="str">
        <f t="shared" si="4"/>
        <v>Riley Harris</v>
      </c>
      <c r="E71" s="1">
        <v>25151</v>
      </c>
      <c r="F71" s="9" t="s">
        <v>25</v>
      </c>
      <c r="G71" s="9" t="s">
        <v>200</v>
      </c>
      <c r="H71" s="7">
        <v>226</v>
      </c>
      <c r="I71" s="9" t="s">
        <v>35</v>
      </c>
      <c r="J71" s="12" t="str">
        <f t="shared" si="5"/>
        <v>Support Coordination</v>
      </c>
      <c r="K71" s="2">
        <v>151815.54</v>
      </c>
      <c r="L71" s="2">
        <v>165711.92000000001</v>
      </c>
      <c r="M71" s="6">
        <v>1.0915000000000001</v>
      </c>
      <c r="N71" s="8">
        <v>63.47</v>
      </c>
      <c r="O71" s="8">
        <v>100.14</v>
      </c>
      <c r="P71" s="8">
        <v>105030.32</v>
      </c>
      <c r="Q71" s="8">
        <v>165711.92000000001</v>
      </c>
      <c r="R71" s="8">
        <v>60681.61</v>
      </c>
      <c r="S71" t="str">
        <f t="shared" si="6"/>
        <v>Overspent</v>
      </c>
      <c r="T71" t="str">
        <f t="shared" si="7"/>
        <v>Healthy</v>
      </c>
    </row>
    <row r="72" spans="1:20" x14ac:dyDescent="0.45">
      <c r="A72" s="9" t="s">
        <v>201</v>
      </c>
      <c r="B72" s="9" t="s">
        <v>58</v>
      </c>
      <c r="C72" s="9" t="s">
        <v>72</v>
      </c>
      <c r="D72" t="str">
        <f t="shared" si="4"/>
        <v>Quinn Thomas</v>
      </c>
      <c r="E72" s="1">
        <v>35014</v>
      </c>
      <c r="F72" s="9" t="s">
        <v>25</v>
      </c>
      <c r="G72" s="9" t="s">
        <v>202</v>
      </c>
      <c r="H72" s="7">
        <v>43</v>
      </c>
      <c r="I72" s="9" t="s">
        <v>21</v>
      </c>
      <c r="J72" s="12" t="str">
        <f t="shared" si="5"/>
        <v>Community Participation</v>
      </c>
      <c r="K72" s="2">
        <v>385354.45</v>
      </c>
      <c r="L72" s="2">
        <v>337391.18</v>
      </c>
      <c r="M72" s="6">
        <v>0.87549999999999994</v>
      </c>
      <c r="N72" s="8">
        <v>45.36</v>
      </c>
      <c r="O72" s="8">
        <v>70.23</v>
      </c>
      <c r="P72" s="8">
        <v>217913.49</v>
      </c>
      <c r="Q72" s="8">
        <v>337391.18</v>
      </c>
      <c r="R72" s="8">
        <v>119477.7</v>
      </c>
      <c r="S72" t="str">
        <f t="shared" si="6"/>
        <v>On Track</v>
      </c>
      <c r="T72" t="str">
        <f t="shared" si="7"/>
        <v>Healthy</v>
      </c>
    </row>
    <row r="73" spans="1:20" x14ac:dyDescent="0.45">
      <c r="A73" s="9" t="s">
        <v>203</v>
      </c>
      <c r="B73" s="9" t="s">
        <v>50</v>
      </c>
      <c r="C73" s="9" t="s">
        <v>139</v>
      </c>
      <c r="D73" t="str">
        <f t="shared" si="4"/>
        <v>Riley Rodriguez</v>
      </c>
      <c r="E73" s="1">
        <v>40017</v>
      </c>
      <c r="F73" s="9" t="s">
        <v>43</v>
      </c>
      <c r="G73" s="9" t="s">
        <v>204</v>
      </c>
      <c r="H73" s="7">
        <v>344</v>
      </c>
      <c r="I73" s="9" t="s">
        <v>21</v>
      </c>
      <c r="J73" s="12" t="str">
        <f t="shared" si="5"/>
        <v>Community Participation</v>
      </c>
      <c r="K73" s="2">
        <v>203926.92</v>
      </c>
      <c r="L73" s="2">
        <v>181548.69</v>
      </c>
      <c r="M73" s="6">
        <v>0.89029999999999998</v>
      </c>
      <c r="N73" s="8">
        <v>45.36</v>
      </c>
      <c r="O73" s="8">
        <v>70.23</v>
      </c>
      <c r="P73" s="8">
        <v>117258.27</v>
      </c>
      <c r="Q73" s="8">
        <v>181548.69</v>
      </c>
      <c r="R73" s="8">
        <v>64290.42</v>
      </c>
      <c r="S73" t="str">
        <f t="shared" si="6"/>
        <v>On Track</v>
      </c>
      <c r="T73" t="str">
        <f t="shared" si="7"/>
        <v>Healthy</v>
      </c>
    </row>
    <row r="74" spans="1:20" x14ac:dyDescent="0.45">
      <c r="A74" s="9" t="s">
        <v>205</v>
      </c>
      <c r="B74" s="9" t="s">
        <v>50</v>
      </c>
      <c r="C74" s="9" t="s">
        <v>29</v>
      </c>
      <c r="D74" t="str">
        <f t="shared" si="4"/>
        <v>Riley Jackson</v>
      </c>
      <c r="E74" s="1">
        <v>24789</v>
      </c>
      <c r="F74" s="9" t="s">
        <v>19</v>
      </c>
      <c r="G74" s="9" t="s">
        <v>206</v>
      </c>
      <c r="H74" s="7">
        <v>125</v>
      </c>
      <c r="I74" s="9" t="s">
        <v>21</v>
      </c>
      <c r="J74" s="12" t="str">
        <f t="shared" si="5"/>
        <v>Community Participation</v>
      </c>
      <c r="K74" s="2">
        <v>121087.79</v>
      </c>
      <c r="L74" s="2">
        <v>98210.2</v>
      </c>
      <c r="M74" s="6">
        <v>0.81110000000000004</v>
      </c>
      <c r="N74" s="8">
        <v>45.36</v>
      </c>
      <c r="O74" s="8">
        <v>70.23</v>
      </c>
      <c r="P74" s="8">
        <v>63431.79</v>
      </c>
      <c r="Q74" s="8">
        <v>98210.2</v>
      </c>
      <c r="R74" s="8">
        <v>34778.410000000003</v>
      </c>
      <c r="S74" t="str">
        <f t="shared" si="6"/>
        <v>On Track</v>
      </c>
      <c r="T74" t="str">
        <f t="shared" si="7"/>
        <v>Healthy</v>
      </c>
    </row>
    <row r="75" spans="1:20" x14ac:dyDescent="0.45">
      <c r="A75" s="9" t="s">
        <v>207</v>
      </c>
      <c r="B75" s="9" t="s">
        <v>104</v>
      </c>
      <c r="C75" s="9" t="s">
        <v>51</v>
      </c>
      <c r="D75" t="str">
        <f t="shared" si="4"/>
        <v>Finley Hall</v>
      </c>
      <c r="E75" s="1">
        <v>20650</v>
      </c>
      <c r="F75" s="9" t="s">
        <v>25</v>
      </c>
      <c r="G75" s="9" t="s">
        <v>208</v>
      </c>
      <c r="H75" s="7">
        <v>294</v>
      </c>
      <c r="I75" s="9" t="s">
        <v>35</v>
      </c>
      <c r="J75" s="12" t="str">
        <f t="shared" si="5"/>
        <v>Support Coordination</v>
      </c>
      <c r="K75" s="2">
        <v>247730.09</v>
      </c>
      <c r="L75" s="2">
        <v>235542.69</v>
      </c>
      <c r="M75" s="6">
        <v>0.95079999999999998</v>
      </c>
      <c r="N75" s="8">
        <v>63.47</v>
      </c>
      <c r="O75" s="8">
        <v>100.14</v>
      </c>
      <c r="P75" s="8">
        <v>149289.94</v>
      </c>
      <c r="Q75" s="8">
        <v>235542.69</v>
      </c>
      <c r="R75" s="8">
        <v>86252.75</v>
      </c>
      <c r="S75" t="str">
        <f t="shared" si="6"/>
        <v>On Track</v>
      </c>
      <c r="T75" t="str">
        <f t="shared" si="7"/>
        <v>Healthy</v>
      </c>
    </row>
    <row r="76" spans="1:20" x14ac:dyDescent="0.45">
      <c r="A76" s="9" t="s">
        <v>209</v>
      </c>
      <c r="B76" s="9" t="s">
        <v>28</v>
      </c>
      <c r="C76" s="9" t="s">
        <v>42</v>
      </c>
      <c r="D76" t="str">
        <f t="shared" si="4"/>
        <v>Pat Garcia</v>
      </c>
      <c r="E76" s="1">
        <v>34463</v>
      </c>
      <c r="F76" s="9" t="s">
        <v>25</v>
      </c>
      <c r="G76" s="9" t="s">
        <v>210</v>
      </c>
      <c r="H76" s="7">
        <v>335</v>
      </c>
      <c r="I76" s="9" t="s">
        <v>21</v>
      </c>
      <c r="J76" s="12" t="str">
        <f t="shared" si="5"/>
        <v>Community Participation</v>
      </c>
      <c r="K76" s="2">
        <v>30076.71</v>
      </c>
      <c r="L76" s="2">
        <v>26575.599999999999</v>
      </c>
      <c r="M76" s="6">
        <v>0.88359999999999994</v>
      </c>
      <c r="N76" s="8">
        <v>45.36</v>
      </c>
      <c r="O76" s="8">
        <v>70.23</v>
      </c>
      <c r="P76" s="8">
        <v>17164.59</v>
      </c>
      <c r="Q76" s="8">
        <v>26575.599999999999</v>
      </c>
      <c r="R76" s="8">
        <v>9411.01</v>
      </c>
      <c r="S76" t="str">
        <f t="shared" si="6"/>
        <v>On Track</v>
      </c>
      <c r="T76" t="str">
        <f t="shared" si="7"/>
        <v>Healthy</v>
      </c>
    </row>
    <row r="77" spans="1:20" x14ac:dyDescent="0.45">
      <c r="A77" s="9" t="s">
        <v>211</v>
      </c>
      <c r="B77" s="9" t="s">
        <v>180</v>
      </c>
      <c r="C77" s="9" t="s">
        <v>93</v>
      </c>
      <c r="D77" t="str">
        <f t="shared" si="4"/>
        <v>Alex Wilson</v>
      </c>
      <c r="E77" s="1">
        <v>32195</v>
      </c>
      <c r="F77" s="9" t="s">
        <v>19</v>
      </c>
      <c r="G77" s="9" t="s">
        <v>212</v>
      </c>
      <c r="H77" s="7">
        <v>265</v>
      </c>
      <c r="I77" s="9" t="s">
        <v>21</v>
      </c>
      <c r="J77" s="12" t="str">
        <f t="shared" si="5"/>
        <v>Community Participation</v>
      </c>
      <c r="K77" s="2">
        <v>364223.7</v>
      </c>
      <c r="L77" s="2">
        <v>317555.19</v>
      </c>
      <c r="M77" s="6">
        <v>0.87190000000000001</v>
      </c>
      <c r="N77" s="8">
        <v>45.36</v>
      </c>
      <c r="O77" s="8">
        <v>70.23</v>
      </c>
      <c r="P77" s="8">
        <v>205101.86</v>
      </c>
      <c r="Q77" s="8">
        <v>317555.19</v>
      </c>
      <c r="R77" s="8">
        <v>112453.33</v>
      </c>
      <c r="S77" t="str">
        <f t="shared" si="6"/>
        <v>On Track</v>
      </c>
      <c r="T77" t="str">
        <f t="shared" si="7"/>
        <v>Healthy</v>
      </c>
    </row>
    <row r="78" spans="1:20" x14ac:dyDescent="0.45">
      <c r="A78" s="9" t="s">
        <v>213</v>
      </c>
      <c r="B78" s="9" t="s">
        <v>58</v>
      </c>
      <c r="C78" s="9" t="s">
        <v>81</v>
      </c>
      <c r="D78" t="str">
        <f t="shared" si="4"/>
        <v>Quinn Johnson</v>
      </c>
      <c r="E78" s="1">
        <v>36529</v>
      </c>
      <c r="F78" s="9" t="s">
        <v>19</v>
      </c>
      <c r="G78" s="9" t="s">
        <v>214</v>
      </c>
      <c r="H78" s="7">
        <v>68</v>
      </c>
      <c r="I78" s="9" t="s">
        <v>21</v>
      </c>
      <c r="J78" s="12" t="str">
        <f t="shared" si="5"/>
        <v>Community Participation</v>
      </c>
      <c r="K78" s="2">
        <v>66509</v>
      </c>
      <c r="L78" s="2">
        <v>62973.1</v>
      </c>
      <c r="M78" s="6">
        <v>0.94680000000000009</v>
      </c>
      <c r="N78" s="8">
        <v>45.36</v>
      </c>
      <c r="O78" s="8">
        <v>70.23</v>
      </c>
      <c r="P78" s="8">
        <v>40672.93</v>
      </c>
      <c r="Q78" s="8">
        <v>62973.1</v>
      </c>
      <c r="R78" s="8">
        <v>22300.17</v>
      </c>
      <c r="S78" t="str">
        <f t="shared" si="6"/>
        <v>On Track</v>
      </c>
      <c r="T78" t="str">
        <f t="shared" si="7"/>
        <v>Healthy</v>
      </c>
    </row>
    <row r="79" spans="1:20" x14ac:dyDescent="0.45">
      <c r="A79" s="9" t="s">
        <v>215</v>
      </c>
      <c r="B79" s="9" t="s">
        <v>58</v>
      </c>
      <c r="C79" s="9" t="s">
        <v>139</v>
      </c>
      <c r="D79" t="str">
        <f t="shared" si="4"/>
        <v>Quinn Rodriguez</v>
      </c>
      <c r="E79" s="1">
        <v>36578</v>
      </c>
      <c r="F79" s="9" t="s">
        <v>43</v>
      </c>
      <c r="G79" s="9" t="s">
        <v>216</v>
      </c>
      <c r="H79" s="7">
        <v>258</v>
      </c>
      <c r="I79" s="9" t="s">
        <v>35</v>
      </c>
      <c r="J79" s="12" t="str">
        <f t="shared" si="5"/>
        <v>Support Coordination</v>
      </c>
      <c r="K79" s="2">
        <v>394403.68</v>
      </c>
      <c r="L79" s="2">
        <v>344163.19</v>
      </c>
      <c r="M79" s="6">
        <v>0.87260000000000004</v>
      </c>
      <c r="N79" s="8">
        <v>63.47</v>
      </c>
      <c r="O79" s="8">
        <v>100.14</v>
      </c>
      <c r="P79" s="8">
        <v>218134.99</v>
      </c>
      <c r="Q79" s="8">
        <v>344163.19</v>
      </c>
      <c r="R79" s="8">
        <v>126028.2</v>
      </c>
      <c r="S79" t="str">
        <f t="shared" si="6"/>
        <v>On Track</v>
      </c>
      <c r="T79" t="str">
        <f t="shared" si="7"/>
        <v>Healthy</v>
      </c>
    </row>
    <row r="80" spans="1:20" x14ac:dyDescent="0.45">
      <c r="A80" s="9" t="s">
        <v>217</v>
      </c>
      <c r="B80" s="9" t="s">
        <v>37</v>
      </c>
      <c r="C80" s="9" t="s">
        <v>97</v>
      </c>
      <c r="D80" t="str">
        <f t="shared" si="4"/>
        <v>Charlie Lewis</v>
      </c>
      <c r="E80" s="1">
        <v>32875</v>
      </c>
      <c r="F80" s="9" t="s">
        <v>19</v>
      </c>
      <c r="G80" s="9" t="s">
        <v>218</v>
      </c>
      <c r="H80" s="7">
        <v>132</v>
      </c>
      <c r="I80" s="9" t="s">
        <v>35</v>
      </c>
      <c r="J80" s="12" t="str">
        <f t="shared" si="5"/>
        <v>Support Coordination</v>
      </c>
      <c r="K80" s="2">
        <v>272132.86</v>
      </c>
      <c r="L80" s="2">
        <v>279884.81</v>
      </c>
      <c r="M80" s="6">
        <v>1.0285</v>
      </c>
      <c r="N80" s="8">
        <v>63.47</v>
      </c>
      <c r="O80" s="8">
        <v>100.14</v>
      </c>
      <c r="P80" s="8">
        <v>177394.54</v>
      </c>
      <c r="Q80" s="8">
        <v>279884.81</v>
      </c>
      <c r="R80" s="8">
        <v>102490.27</v>
      </c>
      <c r="S80" t="str">
        <f t="shared" si="6"/>
        <v>Overspent</v>
      </c>
      <c r="T80" t="str">
        <f t="shared" si="7"/>
        <v>Healthy</v>
      </c>
    </row>
    <row r="81" spans="1:20" x14ac:dyDescent="0.45">
      <c r="A81" s="9" t="s">
        <v>219</v>
      </c>
      <c r="B81" s="9" t="s">
        <v>54</v>
      </c>
      <c r="C81" s="9" t="s">
        <v>66</v>
      </c>
      <c r="D81" t="str">
        <f t="shared" si="4"/>
        <v>Jamie White</v>
      </c>
      <c r="E81" s="1">
        <v>35345</v>
      </c>
      <c r="F81" s="9" t="s">
        <v>25</v>
      </c>
      <c r="G81" s="9" t="s">
        <v>220</v>
      </c>
      <c r="H81" s="7">
        <v>225</v>
      </c>
      <c r="I81" s="9" t="s">
        <v>21</v>
      </c>
      <c r="J81" s="12" t="str">
        <f t="shared" si="5"/>
        <v>Community Participation</v>
      </c>
      <c r="K81" s="2">
        <v>102678.64</v>
      </c>
      <c r="L81" s="2">
        <v>104574.59</v>
      </c>
      <c r="M81" s="6">
        <v>1.0185</v>
      </c>
      <c r="N81" s="8">
        <v>45.36</v>
      </c>
      <c r="O81" s="8">
        <v>70.23</v>
      </c>
      <c r="P81" s="8">
        <v>67542.41</v>
      </c>
      <c r="Q81" s="8">
        <v>104574.59</v>
      </c>
      <c r="R81" s="8">
        <v>37032.18</v>
      </c>
      <c r="S81" t="str">
        <f t="shared" si="6"/>
        <v>Overspent</v>
      </c>
      <c r="T81" t="str">
        <f t="shared" si="7"/>
        <v>Healthy</v>
      </c>
    </row>
    <row r="82" spans="1:20" x14ac:dyDescent="0.45">
      <c r="A82" s="9" t="s">
        <v>221</v>
      </c>
      <c r="B82" s="9" t="s">
        <v>41</v>
      </c>
      <c r="C82" s="9" t="s">
        <v>55</v>
      </c>
      <c r="D82" t="str">
        <f t="shared" si="4"/>
        <v>Taylor Harris</v>
      </c>
      <c r="E82" s="1">
        <v>25947</v>
      </c>
      <c r="F82" s="9" t="s">
        <v>43</v>
      </c>
      <c r="G82" s="9" t="s">
        <v>222</v>
      </c>
      <c r="H82" s="7">
        <v>276</v>
      </c>
      <c r="I82" s="9" t="s">
        <v>35</v>
      </c>
      <c r="J82" s="12" t="str">
        <f t="shared" si="5"/>
        <v>Support Coordination</v>
      </c>
      <c r="K82" s="2">
        <v>153435.42000000001</v>
      </c>
      <c r="L82" s="2">
        <v>151853.76999999999</v>
      </c>
      <c r="M82" s="6">
        <v>0.98970000000000002</v>
      </c>
      <c r="N82" s="8">
        <v>63.47</v>
      </c>
      <c r="O82" s="8">
        <v>100.14</v>
      </c>
      <c r="P82" s="8">
        <v>96246.84</v>
      </c>
      <c r="Q82" s="8">
        <v>151853.76999999999</v>
      </c>
      <c r="R82" s="8">
        <v>55606.93</v>
      </c>
      <c r="S82" t="str">
        <f t="shared" si="6"/>
        <v>On Track</v>
      </c>
      <c r="T82" t="str">
        <f t="shared" si="7"/>
        <v>Healthy</v>
      </c>
    </row>
    <row r="83" spans="1:20" x14ac:dyDescent="0.45">
      <c r="A83" s="9" t="s">
        <v>223</v>
      </c>
      <c r="B83" s="9" t="s">
        <v>41</v>
      </c>
      <c r="C83" s="9" t="s">
        <v>41</v>
      </c>
      <c r="D83" t="str">
        <f t="shared" si="4"/>
        <v>Taylor Taylor</v>
      </c>
      <c r="E83" s="1">
        <v>23206</v>
      </c>
      <c r="F83" s="9" t="s">
        <v>19</v>
      </c>
      <c r="G83" s="9" t="s">
        <v>224</v>
      </c>
      <c r="H83" s="7">
        <v>78</v>
      </c>
      <c r="I83" s="9" t="s">
        <v>35</v>
      </c>
      <c r="J83" s="12" t="str">
        <f t="shared" si="5"/>
        <v>Support Coordination</v>
      </c>
      <c r="K83" s="2">
        <v>257076.59</v>
      </c>
      <c r="L83" s="2">
        <v>246981.81</v>
      </c>
      <c r="M83" s="6">
        <v>0.96069999999999989</v>
      </c>
      <c r="N83" s="8">
        <v>63.47</v>
      </c>
      <c r="O83" s="8">
        <v>100.14</v>
      </c>
      <c r="P83" s="8">
        <v>156540.20000000001</v>
      </c>
      <c r="Q83" s="8">
        <v>246981.81</v>
      </c>
      <c r="R83" s="8">
        <v>90441.61</v>
      </c>
      <c r="S83" t="str">
        <f t="shared" si="6"/>
        <v>On Track</v>
      </c>
      <c r="T83" t="str">
        <f t="shared" si="7"/>
        <v>Healthy</v>
      </c>
    </row>
    <row r="84" spans="1:20" x14ac:dyDescent="0.45">
      <c r="A84" s="9" t="s">
        <v>225</v>
      </c>
      <c r="B84" s="9" t="s">
        <v>28</v>
      </c>
      <c r="C84" s="9" t="s">
        <v>24</v>
      </c>
      <c r="D84" t="str">
        <f t="shared" si="4"/>
        <v>Pat Brown</v>
      </c>
      <c r="E84" s="1">
        <v>31858</v>
      </c>
      <c r="F84" s="9" t="s">
        <v>25</v>
      </c>
      <c r="G84" s="9" t="s">
        <v>226</v>
      </c>
      <c r="H84" s="7">
        <v>238</v>
      </c>
      <c r="I84" s="9" t="s">
        <v>35</v>
      </c>
      <c r="J84" s="12" t="str">
        <f t="shared" si="5"/>
        <v>Support Coordination</v>
      </c>
      <c r="K84" s="2">
        <v>45213.01</v>
      </c>
      <c r="L84" s="2">
        <v>47500.37</v>
      </c>
      <c r="M84" s="6">
        <v>1.0506</v>
      </c>
      <c r="N84" s="8">
        <v>63.47</v>
      </c>
      <c r="O84" s="8">
        <v>100.14</v>
      </c>
      <c r="P84" s="8">
        <v>30106.34</v>
      </c>
      <c r="Q84" s="8">
        <v>47500.37</v>
      </c>
      <c r="R84" s="8">
        <v>17394.03</v>
      </c>
      <c r="S84" t="str">
        <f t="shared" si="6"/>
        <v>Overspent</v>
      </c>
      <c r="T84" t="str">
        <f t="shared" si="7"/>
        <v>Healthy</v>
      </c>
    </row>
    <row r="85" spans="1:20" x14ac:dyDescent="0.45">
      <c r="A85" s="9" t="s">
        <v>227</v>
      </c>
      <c r="B85" s="9" t="s">
        <v>37</v>
      </c>
      <c r="C85" s="9" t="s">
        <v>81</v>
      </c>
      <c r="D85" t="str">
        <f t="shared" si="4"/>
        <v>Charlie Johnson</v>
      </c>
      <c r="E85" s="1">
        <v>25041</v>
      </c>
      <c r="F85" s="9" t="s">
        <v>25</v>
      </c>
      <c r="G85" s="9" t="s">
        <v>228</v>
      </c>
      <c r="H85" s="7">
        <v>356</v>
      </c>
      <c r="I85" s="9" t="s">
        <v>35</v>
      </c>
      <c r="J85" s="12" t="str">
        <f t="shared" si="5"/>
        <v>Support Coordination</v>
      </c>
      <c r="K85" s="2">
        <v>135104.23000000001</v>
      </c>
      <c r="L85" s="2">
        <v>115643.21</v>
      </c>
      <c r="M85" s="6">
        <v>0.85599999999999998</v>
      </c>
      <c r="N85" s="8">
        <v>63.47</v>
      </c>
      <c r="O85" s="8">
        <v>100.14</v>
      </c>
      <c r="P85" s="8">
        <v>73296.13</v>
      </c>
      <c r="Q85" s="8">
        <v>115643.21</v>
      </c>
      <c r="R85" s="8">
        <v>42347.08</v>
      </c>
      <c r="S85" t="str">
        <f t="shared" si="6"/>
        <v>On Track</v>
      </c>
      <c r="T85" t="str">
        <f t="shared" si="7"/>
        <v>Healthy</v>
      </c>
    </row>
    <row r="86" spans="1:20" x14ac:dyDescent="0.45">
      <c r="A86" s="9" t="s">
        <v>229</v>
      </c>
      <c r="B86" s="9" t="s">
        <v>180</v>
      </c>
      <c r="C86" s="9" t="s">
        <v>117</v>
      </c>
      <c r="D86" t="str">
        <f t="shared" si="4"/>
        <v>Alex Walker</v>
      </c>
      <c r="E86" s="1">
        <v>30728</v>
      </c>
      <c r="F86" s="9" t="s">
        <v>25</v>
      </c>
      <c r="G86" s="9" t="s">
        <v>230</v>
      </c>
      <c r="H86" s="7">
        <v>152</v>
      </c>
      <c r="I86" s="9" t="s">
        <v>21</v>
      </c>
      <c r="J86" s="12" t="str">
        <f t="shared" si="5"/>
        <v>Community Participation</v>
      </c>
      <c r="K86" s="2">
        <v>25902.31</v>
      </c>
      <c r="L86" s="2">
        <v>25313.49</v>
      </c>
      <c r="M86" s="6">
        <v>0.97730000000000006</v>
      </c>
      <c r="N86" s="8">
        <v>45.36</v>
      </c>
      <c r="O86" s="8">
        <v>70.23</v>
      </c>
      <c r="P86" s="8">
        <v>16349.42</v>
      </c>
      <c r="Q86" s="8">
        <v>25313.49</v>
      </c>
      <c r="R86" s="8">
        <v>8964.07</v>
      </c>
      <c r="S86" t="str">
        <f t="shared" si="6"/>
        <v>On Track</v>
      </c>
      <c r="T86" t="str">
        <f t="shared" si="7"/>
        <v>Healthy</v>
      </c>
    </row>
    <row r="87" spans="1:20" x14ac:dyDescent="0.45">
      <c r="A87" s="9" t="s">
        <v>231</v>
      </c>
      <c r="B87" s="9" t="s">
        <v>65</v>
      </c>
      <c r="C87" s="9" t="s">
        <v>33</v>
      </c>
      <c r="D87" t="str">
        <f t="shared" si="4"/>
        <v>Harper Martinez</v>
      </c>
      <c r="E87" s="1">
        <v>35900</v>
      </c>
      <c r="F87" s="9" t="s">
        <v>19</v>
      </c>
      <c r="G87" s="9" t="s">
        <v>232</v>
      </c>
      <c r="H87" s="7">
        <v>139</v>
      </c>
      <c r="I87" s="9" t="s">
        <v>35</v>
      </c>
      <c r="J87" s="12" t="str">
        <f t="shared" si="5"/>
        <v>Support Coordination</v>
      </c>
      <c r="K87" s="2">
        <v>274250.09999999998</v>
      </c>
      <c r="L87" s="2">
        <v>220764.85</v>
      </c>
      <c r="M87" s="6">
        <v>0.80500000000000005</v>
      </c>
      <c r="N87" s="8">
        <v>63.47</v>
      </c>
      <c r="O87" s="8">
        <v>100.14</v>
      </c>
      <c r="P87" s="8">
        <v>139923.54999999999</v>
      </c>
      <c r="Q87" s="8">
        <v>220764.85</v>
      </c>
      <c r="R87" s="8">
        <v>80841.289999999994</v>
      </c>
      <c r="S87" t="str">
        <f t="shared" si="6"/>
        <v>On Track</v>
      </c>
      <c r="T87" t="str">
        <f t="shared" si="7"/>
        <v>Healthy</v>
      </c>
    </row>
    <row r="88" spans="1:20" x14ac:dyDescent="0.45">
      <c r="A88" s="9" t="s">
        <v>233</v>
      </c>
      <c r="B88" s="9" t="s">
        <v>37</v>
      </c>
      <c r="C88" s="9" t="s">
        <v>130</v>
      </c>
      <c r="D88" t="str">
        <f t="shared" si="4"/>
        <v>Charlie Clark</v>
      </c>
      <c r="E88" s="1">
        <v>19215</v>
      </c>
      <c r="F88" s="9" t="s">
        <v>25</v>
      </c>
      <c r="G88" s="9" t="s">
        <v>234</v>
      </c>
      <c r="H88" s="7">
        <v>347</v>
      </c>
      <c r="I88" s="9" t="s">
        <v>35</v>
      </c>
      <c r="J88" s="12" t="str">
        <f t="shared" si="5"/>
        <v>Support Coordination</v>
      </c>
      <c r="K88" s="2">
        <v>209716.29</v>
      </c>
      <c r="L88" s="2">
        <v>182022.99</v>
      </c>
      <c r="M88" s="6">
        <v>0.86790000000000012</v>
      </c>
      <c r="N88" s="8">
        <v>63.47</v>
      </c>
      <c r="O88" s="8">
        <v>100.14</v>
      </c>
      <c r="P88" s="8">
        <v>115368.48</v>
      </c>
      <c r="Q88" s="8">
        <v>182022.99</v>
      </c>
      <c r="R88" s="8">
        <v>66654.509999999995</v>
      </c>
      <c r="S88" t="str">
        <f t="shared" si="6"/>
        <v>On Track</v>
      </c>
      <c r="T88" t="str">
        <f t="shared" si="7"/>
        <v>Healthy</v>
      </c>
    </row>
    <row r="89" spans="1:20" x14ac:dyDescent="0.45">
      <c r="A89" s="9" t="s">
        <v>235</v>
      </c>
      <c r="B89" s="9" t="s">
        <v>65</v>
      </c>
      <c r="C89" s="9" t="s">
        <v>89</v>
      </c>
      <c r="D89" t="str">
        <f t="shared" si="4"/>
        <v>Harper Anderson</v>
      </c>
      <c r="E89" s="1">
        <v>33579</v>
      </c>
      <c r="F89" s="9" t="s">
        <v>19</v>
      </c>
      <c r="G89" s="9" t="s">
        <v>236</v>
      </c>
      <c r="H89" s="7">
        <v>303</v>
      </c>
      <c r="I89" s="9" t="s">
        <v>21</v>
      </c>
      <c r="J89" s="12" t="str">
        <f t="shared" si="5"/>
        <v>Community Participation</v>
      </c>
      <c r="K89" s="2">
        <v>261617.39</v>
      </c>
      <c r="L89" s="2">
        <v>222979.1</v>
      </c>
      <c r="M89" s="6">
        <v>0.85230000000000006</v>
      </c>
      <c r="N89" s="8">
        <v>45.36</v>
      </c>
      <c r="O89" s="8">
        <v>70.23</v>
      </c>
      <c r="P89" s="8">
        <v>144017.26</v>
      </c>
      <c r="Q89" s="8">
        <v>222979.1</v>
      </c>
      <c r="R89" s="8">
        <v>78961.84</v>
      </c>
      <c r="S89" t="str">
        <f t="shared" si="6"/>
        <v>On Track</v>
      </c>
      <c r="T89" t="str">
        <f t="shared" si="7"/>
        <v>Healthy</v>
      </c>
    </row>
    <row r="90" spans="1:20" x14ac:dyDescent="0.45">
      <c r="A90" s="9" t="s">
        <v>237</v>
      </c>
      <c r="B90" s="9" t="s">
        <v>78</v>
      </c>
      <c r="C90" s="9" t="s">
        <v>18</v>
      </c>
      <c r="D90" t="str">
        <f t="shared" si="4"/>
        <v>Rowan Smith</v>
      </c>
      <c r="E90" s="1">
        <v>21014</v>
      </c>
      <c r="F90" s="9" t="s">
        <v>25</v>
      </c>
      <c r="G90" s="9" t="s">
        <v>238</v>
      </c>
      <c r="H90" s="7">
        <v>93</v>
      </c>
      <c r="I90" s="9" t="s">
        <v>21</v>
      </c>
      <c r="J90" s="12" t="str">
        <f t="shared" si="5"/>
        <v>Community Participation</v>
      </c>
      <c r="K90" s="2">
        <v>279465.71999999997</v>
      </c>
      <c r="L90" s="2">
        <v>255996.36</v>
      </c>
      <c r="M90" s="6">
        <v>0.91599999999999993</v>
      </c>
      <c r="N90" s="8">
        <v>45.36</v>
      </c>
      <c r="O90" s="8">
        <v>70.23</v>
      </c>
      <c r="P90" s="8">
        <v>165342.37</v>
      </c>
      <c r="Q90" s="8">
        <v>255996.36</v>
      </c>
      <c r="R90" s="8">
        <v>90653.98</v>
      </c>
      <c r="S90" t="str">
        <f t="shared" si="6"/>
        <v>On Track</v>
      </c>
      <c r="T90" t="str">
        <f t="shared" si="7"/>
        <v>Healthy</v>
      </c>
    </row>
    <row r="91" spans="1:20" x14ac:dyDescent="0.45">
      <c r="A91" s="9" t="s">
        <v>239</v>
      </c>
      <c r="B91" s="9" t="s">
        <v>46</v>
      </c>
      <c r="C91" s="9" t="s">
        <v>66</v>
      </c>
      <c r="D91" t="str">
        <f t="shared" si="4"/>
        <v>Jordan White</v>
      </c>
      <c r="E91" s="1">
        <v>30686</v>
      </c>
      <c r="F91" s="9" t="s">
        <v>43</v>
      </c>
      <c r="G91" s="9" t="s">
        <v>240</v>
      </c>
      <c r="H91" s="7">
        <v>167</v>
      </c>
      <c r="I91" s="9" t="s">
        <v>21</v>
      </c>
      <c r="J91" s="12" t="str">
        <f t="shared" si="5"/>
        <v>Community Participation</v>
      </c>
      <c r="K91" s="2">
        <v>375324.7</v>
      </c>
      <c r="L91" s="2">
        <v>315744.26</v>
      </c>
      <c r="M91" s="6">
        <v>0.84129999999999994</v>
      </c>
      <c r="N91" s="8">
        <v>45.36</v>
      </c>
      <c r="O91" s="8">
        <v>70.23</v>
      </c>
      <c r="P91" s="8">
        <v>203932.22</v>
      </c>
      <c r="Q91" s="8">
        <v>315744.26</v>
      </c>
      <c r="R91" s="8">
        <v>111812.04</v>
      </c>
      <c r="S91" t="str">
        <f t="shared" si="6"/>
        <v>On Track</v>
      </c>
      <c r="T91" t="str">
        <f t="shared" si="7"/>
        <v>Healthy</v>
      </c>
    </row>
    <row r="92" spans="1:20" x14ac:dyDescent="0.45">
      <c r="A92" s="9" t="s">
        <v>241</v>
      </c>
      <c r="B92" s="9" t="s">
        <v>71</v>
      </c>
      <c r="C92" s="9" t="s">
        <v>42</v>
      </c>
      <c r="D92" t="str">
        <f t="shared" si="4"/>
        <v>Logan Garcia</v>
      </c>
      <c r="E92" s="1">
        <v>27381</v>
      </c>
      <c r="F92" s="9" t="s">
        <v>25</v>
      </c>
      <c r="G92" s="9" t="s">
        <v>242</v>
      </c>
      <c r="H92" s="7">
        <v>240</v>
      </c>
      <c r="I92" s="9" t="s">
        <v>35</v>
      </c>
      <c r="J92" s="12" t="str">
        <f t="shared" si="5"/>
        <v>Support Coordination</v>
      </c>
      <c r="K92" s="2">
        <v>143015.88</v>
      </c>
      <c r="L92" s="2">
        <v>119281.26</v>
      </c>
      <c r="M92" s="6">
        <v>0.83400000000000007</v>
      </c>
      <c r="N92" s="8">
        <v>63.47</v>
      </c>
      <c r="O92" s="8">
        <v>100.14</v>
      </c>
      <c r="P92" s="8">
        <v>75601.97</v>
      </c>
      <c r="Q92" s="8">
        <v>119281.26</v>
      </c>
      <c r="R92" s="8">
        <v>43679.29</v>
      </c>
      <c r="S92" t="str">
        <f t="shared" si="6"/>
        <v>On Track</v>
      </c>
      <c r="T92" t="str">
        <f t="shared" si="7"/>
        <v>Healthy</v>
      </c>
    </row>
    <row r="93" spans="1:20" x14ac:dyDescent="0.45">
      <c r="A93" s="9" t="s">
        <v>243</v>
      </c>
      <c r="B93" s="9" t="s">
        <v>180</v>
      </c>
      <c r="C93" s="9" t="s">
        <v>97</v>
      </c>
      <c r="D93" t="str">
        <f t="shared" si="4"/>
        <v>Alex Lewis</v>
      </c>
      <c r="E93" s="1">
        <v>19970</v>
      </c>
      <c r="F93" s="9" t="s">
        <v>43</v>
      </c>
      <c r="G93" s="9" t="s">
        <v>244</v>
      </c>
      <c r="H93" s="7">
        <v>35</v>
      </c>
      <c r="I93" s="9" t="s">
        <v>21</v>
      </c>
      <c r="J93" s="12" t="str">
        <f t="shared" si="5"/>
        <v>Community Participation</v>
      </c>
      <c r="K93" s="2">
        <v>370630.51</v>
      </c>
      <c r="L93" s="2">
        <v>394055.03</v>
      </c>
      <c r="M93" s="6">
        <v>1.0631999999999999</v>
      </c>
      <c r="N93" s="8">
        <v>45.36</v>
      </c>
      <c r="O93" s="8">
        <v>70.23</v>
      </c>
      <c r="P93" s="8">
        <v>254511.41</v>
      </c>
      <c r="Q93" s="8">
        <v>394055.03</v>
      </c>
      <c r="R93" s="8">
        <v>139543.62</v>
      </c>
      <c r="S93" t="str">
        <f t="shared" si="6"/>
        <v>Overspent</v>
      </c>
      <c r="T93" t="str">
        <f t="shared" si="7"/>
        <v>Healthy</v>
      </c>
    </row>
    <row r="94" spans="1:20" x14ac:dyDescent="0.45">
      <c r="A94" s="9" t="s">
        <v>245</v>
      </c>
      <c r="B94" s="9" t="s">
        <v>46</v>
      </c>
      <c r="C94" s="9" t="s">
        <v>18</v>
      </c>
      <c r="D94" t="str">
        <f t="shared" si="4"/>
        <v>Jordan Smith</v>
      </c>
      <c r="E94" s="1">
        <v>26366</v>
      </c>
      <c r="F94" s="9" t="s">
        <v>19</v>
      </c>
      <c r="G94" s="9" t="s">
        <v>246</v>
      </c>
      <c r="H94" s="7">
        <v>78</v>
      </c>
      <c r="I94" s="9" t="s">
        <v>21</v>
      </c>
      <c r="J94" s="12" t="str">
        <f t="shared" si="5"/>
        <v>Community Participation</v>
      </c>
      <c r="K94" s="2">
        <v>110597.23</v>
      </c>
      <c r="L94" s="2">
        <v>110375.51</v>
      </c>
      <c r="M94" s="6">
        <v>0.998</v>
      </c>
      <c r="N94" s="8">
        <v>45.36</v>
      </c>
      <c r="O94" s="8">
        <v>70.23</v>
      </c>
      <c r="P94" s="8">
        <v>71289.100000000006</v>
      </c>
      <c r="Q94" s="8">
        <v>110375.51</v>
      </c>
      <c r="R94" s="8">
        <v>39086.42</v>
      </c>
      <c r="S94" t="str">
        <f t="shared" si="6"/>
        <v>On Track</v>
      </c>
      <c r="T94" t="str">
        <f t="shared" si="7"/>
        <v>Healthy</v>
      </c>
    </row>
    <row r="95" spans="1:20" x14ac:dyDescent="0.45">
      <c r="A95" s="9" t="s">
        <v>247</v>
      </c>
      <c r="B95" s="9" t="s">
        <v>54</v>
      </c>
      <c r="C95" s="9" t="s">
        <v>41</v>
      </c>
      <c r="D95" t="str">
        <f t="shared" si="4"/>
        <v>Jamie Taylor</v>
      </c>
      <c r="E95" s="1">
        <v>33781</v>
      </c>
      <c r="F95" s="9" t="s">
        <v>30</v>
      </c>
      <c r="G95" s="9" t="s">
        <v>248</v>
      </c>
      <c r="H95" s="7">
        <v>358</v>
      </c>
      <c r="I95" s="9" t="s">
        <v>21</v>
      </c>
      <c r="J95" s="12" t="str">
        <f t="shared" si="5"/>
        <v>Community Participation</v>
      </c>
      <c r="K95" s="2">
        <v>328716.65999999997</v>
      </c>
      <c r="L95" s="2">
        <v>317724.45</v>
      </c>
      <c r="M95" s="6">
        <v>0.96660000000000001</v>
      </c>
      <c r="N95" s="8">
        <v>45.36</v>
      </c>
      <c r="O95" s="8">
        <v>70.23</v>
      </c>
      <c r="P95" s="8">
        <v>205211.18</v>
      </c>
      <c r="Q95" s="8">
        <v>317724.45</v>
      </c>
      <c r="R95" s="8">
        <v>112513.27</v>
      </c>
      <c r="S95" t="str">
        <f t="shared" si="6"/>
        <v>On Track</v>
      </c>
      <c r="T95" t="str">
        <f t="shared" si="7"/>
        <v>Healthy</v>
      </c>
    </row>
    <row r="96" spans="1:20" x14ac:dyDescent="0.45">
      <c r="A96" s="9" t="s">
        <v>249</v>
      </c>
      <c r="B96" s="9" t="s">
        <v>62</v>
      </c>
      <c r="C96" s="9" t="s">
        <v>59</v>
      </c>
      <c r="D96" t="str">
        <f t="shared" si="4"/>
        <v>Morgan Thompson</v>
      </c>
      <c r="E96" s="1">
        <v>23762</v>
      </c>
      <c r="F96" s="9" t="s">
        <v>30</v>
      </c>
      <c r="G96" s="9" t="s">
        <v>250</v>
      </c>
      <c r="H96" s="7">
        <v>55</v>
      </c>
      <c r="I96" s="9" t="s">
        <v>21</v>
      </c>
      <c r="J96" s="12" t="str">
        <f t="shared" si="5"/>
        <v>Community Participation</v>
      </c>
      <c r="K96" s="2">
        <v>216563.73</v>
      </c>
      <c r="L96" s="2">
        <v>188963.91</v>
      </c>
      <c r="M96" s="6">
        <v>0.87260000000000004</v>
      </c>
      <c r="N96" s="8">
        <v>45.36</v>
      </c>
      <c r="O96" s="8">
        <v>70.23</v>
      </c>
      <c r="P96" s="8">
        <v>122047.6</v>
      </c>
      <c r="Q96" s="8">
        <v>188963.91</v>
      </c>
      <c r="R96" s="8">
        <v>66916.31</v>
      </c>
      <c r="S96" t="str">
        <f t="shared" si="6"/>
        <v>On Track</v>
      </c>
      <c r="T96" t="str">
        <f t="shared" si="7"/>
        <v>Healthy</v>
      </c>
    </row>
    <row r="97" spans="1:20" x14ac:dyDescent="0.45">
      <c r="A97" s="9" t="s">
        <v>251</v>
      </c>
      <c r="B97" s="9" t="s">
        <v>78</v>
      </c>
      <c r="C97" s="9" t="s">
        <v>18</v>
      </c>
      <c r="D97" t="str">
        <f t="shared" si="4"/>
        <v>Rowan Smith</v>
      </c>
      <c r="E97" s="1">
        <v>28486</v>
      </c>
      <c r="F97" s="9" t="s">
        <v>25</v>
      </c>
      <c r="G97" s="9" t="s">
        <v>252</v>
      </c>
      <c r="H97" s="7">
        <v>101</v>
      </c>
      <c r="I97" s="9" t="s">
        <v>35</v>
      </c>
      <c r="J97" s="12" t="str">
        <f t="shared" si="5"/>
        <v>Support Coordination</v>
      </c>
      <c r="K97" s="2">
        <v>46310.080000000002</v>
      </c>
      <c r="L97" s="2">
        <v>49513.1</v>
      </c>
      <c r="M97" s="6">
        <v>1.0691999999999999</v>
      </c>
      <c r="N97" s="8">
        <v>63.47</v>
      </c>
      <c r="O97" s="8">
        <v>100.14</v>
      </c>
      <c r="P97" s="8">
        <v>31382.03</v>
      </c>
      <c r="Q97" s="8">
        <v>49513.1</v>
      </c>
      <c r="R97" s="8">
        <v>18131.07</v>
      </c>
      <c r="S97" t="str">
        <f t="shared" si="6"/>
        <v>Overspent</v>
      </c>
      <c r="T97" t="str">
        <f t="shared" si="7"/>
        <v>Healthy</v>
      </c>
    </row>
    <row r="98" spans="1:20" x14ac:dyDescent="0.45">
      <c r="A98" s="9" t="s">
        <v>253</v>
      </c>
      <c r="B98" s="9" t="s">
        <v>41</v>
      </c>
      <c r="C98" s="9" t="s">
        <v>117</v>
      </c>
      <c r="D98" t="str">
        <f t="shared" si="4"/>
        <v>Taylor Walker</v>
      </c>
      <c r="E98" s="1">
        <v>38817</v>
      </c>
      <c r="F98" s="9" t="s">
        <v>19</v>
      </c>
      <c r="G98" s="9" t="s">
        <v>254</v>
      </c>
      <c r="H98" s="7">
        <v>154</v>
      </c>
      <c r="I98" s="9" t="s">
        <v>21</v>
      </c>
      <c r="J98" s="12" t="str">
        <f t="shared" si="5"/>
        <v>Community Participation</v>
      </c>
      <c r="K98" s="2">
        <v>361163.04</v>
      </c>
      <c r="L98" s="2">
        <v>357526.29</v>
      </c>
      <c r="M98" s="6">
        <v>0.9899</v>
      </c>
      <c r="N98" s="8">
        <v>45.36</v>
      </c>
      <c r="O98" s="8">
        <v>70.23</v>
      </c>
      <c r="P98" s="8">
        <v>230918.3</v>
      </c>
      <c r="Q98" s="8">
        <v>357526.29</v>
      </c>
      <c r="R98" s="8">
        <v>126607.99</v>
      </c>
      <c r="S98" t="str">
        <f t="shared" si="6"/>
        <v>On Track</v>
      </c>
      <c r="T98" t="str">
        <f t="shared" si="7"/>
        <v>Healthy</v>
      </c>
    </row>
    <row r="99" spans="1:20" x14ac:dyDescent="0.45">
      <c r="A99" s="9" t="s">
        <v>255</v>
      </c>
      <c r="B99" s="9" t="s">
        <v>84</v>
      </c>
      <c r="C99" s="9" t="s">
        <v>93</v>
      </c>
      <c r="D99" t="str">
        <f t="shared" si="4"/>
        <v>Drew Wilson</v>
      </c>
      <c r="E99" s="1">
        <v>36808</v>
      </c>
      <c r="F99" s="9" t="s">
        <v>30</v>
      </c>
      <c r="G99" s="9" t="s">
        <v>256</v>
      </c>
      <c r="H99" s="7">
        <v>219</v>
      </c>
      <c r="I99" s="9" t="s">
        <v>35</v>
      </c>
      <c r="J99" s="12" t="str">
        <f t="shared" si="5"/>
        <v>Support Coordination</v>
      </c>
      <c r="K99" s="2">
        <v>142221.62</v>
      </c>
      <c r="L99" s="2">
        <v>128676.84</v>
      </c>
      <c r="M99" s="6">
        <v>0.90480000000000005</v>
      </c>
      <c r="N99" s="8">
        <v>63.47</v>
      </c>
      <c r="O99" s="8">
        <v>100.14</v>
      </c>
      <c r="P99" s="8">
        <v>81557.009999999995</v>
      </c>
      <c r="Q99" s="8">
        <v>128676.84</v>
      </c>
      <c r="R99" s="8">
        <v>47119.83</v>
      </c>
      <c r="S99" t="str">
        <f t="shared" si="6"/>
        <v>On Track</v>
      </c>
      <c r="T99" t="str">
        <f t="shared" si="7"/>
        <v>Healthy</v>
      </c>
    </row>
    <row r="100" spans="1:20" x14ac:dyDescent="0.45">
      <c r="A100" s="9" t="s">
        <v>257</v>
      </c>
      <c r="B100" s="9" t="s">
        <v>183</v>
      </c>
      <c r="C100" s="9" t="s">
        <v>24</v>
      </c>
      <c r="D100" t="str">
        <f t="shared" si="4"/>
        <v>Avery Brown</v>
      </c>
      <c r="E100" s="1">
        <v>34843</v>
      </c>
      <c r="F100" s="9" t="s">
        <v>43</v>
      </c>
      <c r="G100" s="9" t="s">
        <v>258</v>
      </c>
      <c r="H100" s="7">
        <v>250</v>
      </c>
      <c r="I100" s="9" t="s">
        <v>21</v>
      </c>
      <c r="J100" s="12" t="str">
        <f t="shared" si="5"/>
        <v>Community Participation</v>
      </c>
      <c r="K100" s="2">
        <v>293122.71000000002</v>
      </c>
      <c r="L100" s="2">
        <v>313387.19</v>
      </c>
      <c r="M100" s="6">
        <v>1.0690999999999999</v>
      </c>
      <c r="N100" s="8">
        <v>45.36</v>
      </c>
      <c r="O100" s="8">
        <v>70.23</v>
      </c>
      <c r="P100" s="8">
        <v>202409.84</v>
      </c>
      <c r="Q100" s="8">
        <v>313387.19</v>
      </c>
      <c r="R100" s="8">
        <v>110977.35</v>
      </c>
      <c r="S100" t="str">
        <f t="shared" si="6"/>
        <v>Overspent</v>
      </c>
      <c r="T100" t="str">
        <f t="shared" si="7"/>
        <v>Healthy</v>
      </c>
    </row>
    <row r="101" spans="1:20" x14ac:dyDescent="0.45">
      <c r="A101" s="9" t="s">
        <v>259</v>
      </c>
      <c r="B101" s="9" t="s">
        <v>17</v>
      </c>
      <c r="C101" s="9" t="s">
        <v>33</v>
      </c>
      <c r="D101" t="str">
        <f t="shared" si="4"/>
        <v>Casey Martinez</v>
      </c>
      <c r="E101" s="1">
        <v>30132</v>
      </c>
      <c r="F101" s="9" t="s">
        <v>25</v>
      </c>
      <c r="G101" s="9" t="s">
        <v>260</v>
      </c>
      <c r="H101" s="7">
        <v>90</v>
      </c>
      <c r="I101" s="9" t="s">
        <v>21</v>
      </c>
      <c r="J101" s="12" t="str">
        <f t="shared" si="5"/>
        <v>Community Participation</v>
      </c>
      <c r="K101" s="2">
        <v>355963.71</v>
      </c>
      <c r="L101" s="2">
        <v>368053.18</v>
      </c>
      <c r="M101" s="6">
        <v>1.034</v>
      </c>
      <c r="N101" s="8">
        <v>45.36</v>
      </c>
      <c r="O101" s="8">
        <v>70.23</v>
      </c>
      <c r="P101" s="8">
        <v>237717.39</v>
      </c>
      <c r="Q101" s="8">
        <v>368053.18</v>
      </c>
      <c r="R101" s="8">
        <v>130335.79</v>
      </c>
      <c r="S101" t="str">
        <f t="shared" si="6"/>
        <v>Overspent</v>
      </c>
      <c r="T101" t="str">
        <f t="shared" si="7"/>
        <v>Healthy</v>
      </c>
    </row>
  </sheetData>
  <autoFilter ref="A1:T1" xr:uid="{3BCE87D3-C4AE-4ED1-9B2A-2E06AFE19B05}"/>
  <conditionalFormatting sqref="A2:A101">
    <cfRule type="duplicateValues" dxfId="74" priority="2"/>
  </conditionalFormatting>
  <conditionalFormatting sqref="M2:M101">
    <cfRule type="cellIs" dxfId="73" priority="3" operator="greaterThan">
      <formula>1</formula>
    </cfRule>
  </conditionalFormatting>
  <conditionalFormatting sqref="R2:R101">
    <cfRule type="top10" dxfId="72" priority="4" bottom="1" rank="10"/>
    <cfRule type="top10" dxfId="71" priority="5" rank="10"/>
  </conditionalFormatting>
  <conditionalFormatting sqref="T2:T101">
    <cfRule type="cellIs" dxfId="70" priority="1" operator="equal">
      <formula>"Expiring"</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21E2C-45F6-4E64-AE78-EBE23AD57950}">
  <dimension ref="A1"/>
  <sheetViews>
    <sheetView workbookViewId="0">
      <selection activeCell="G33" sqref="G33"/>
    </sheetView>
  </sheetViews>
  <sheetFormatPr defaultRowHeight="14.25" x14ac:dyDescent="0.45"/>
  <sheetData>
    <row r="1" spans="1:1" x14ac:dyDescent="0.45">
      <c r="A1" t="s">
        <v>298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8C7AA-2BB3-4342-8B88-3C12BF4C070B}">
  <dimension ref="A1:H44"/>
  <sheetViews>
    <sheetView topLeftCell="A16" workbookViewId="0">
      <selection activeCell="A38" sqref="A38"/>
    </sheetView>
  </sheetViews>
  <sheetFormatPr defaultRowHeight="14.25" x14ac:dyDescent="0.45"/>
  <cols>
    <col min="1" max="1" width="18.73046875" bestFit="1" customWidth="1"/>
    <col min="2" max="2" width="13" bestFit="1" customWidth="1"/>
    <col min="3" max="4" width="12.33203125" bestFit="1" customWidth="1"/>
    <col min="5" max="5" width="10.46484375" bestFit="1" customWidth="1"/>
    <col min="8" max="8" width="8.265625" customWidth="1"/>
    <col min="9" max="9" width="62.9296875" customWidth="1"/>
  </cols>
  <sheetData>
    <row r="1" spans="1:4" x14ac:dyDescent="0.45">
      <c r="A1" s="3" t="s">
        <v>300</v>
      </c>
      <c r="B1" t="s">
        <v>301</v>
      </c>
    </row>
    <row r="3" spans="1:4" x14ac:dyDescent="0.45">
      <c r="A3" s="3" t="s">
        <v>4</v>
      </c>
      <c r="B3" t="s">
        <v>264</v>
      </c>
      <c r="D3" t="s">
        <v>281</v>
      </c>
    </row>
    <row r="4" spans="1:4" x14ac:dyDescent="0.45">
      <c r="A4" s="4" t="s">
        <v>43</v>
      </c>
      <c r="B4" s="2">
        <v>2861896.0500000003</v>
      </c>
      <c r="D4" t="s">
        <v>282</v>
      </c>
    </row>
    <row r="5" spans="1:4" x14ac:dyDescent="0.45">
      <c r="A5" s="4" t="s">
        <v>19</v>
      </c>
      <c r="B5" s="2">
        <v>2465550.09</v>
      </c>
      <c r="D5" t="s">
        <v>284</v>
      </c>
    </row>
    <row r="6" spans="1:4" x14ac:dyDescent="0.45">
      <c r="A6" s="4" t="s">
        <v>30</v>
      </c>
      <c r="B6" s="2">
        <v>2069171.0400000003</v>
      </c>
      <c r="D6" t="s">
        <v>283</v>
      </c>
    </row>
    <row r="7" spans="1:4" x14ac:dyDescent="0.45">
      <c r="A7" s="4" t="s">
        <v>25</v>
      </c>
      <c r="B7" s="2">
        <v>1916394.5999999999</v>
      </c>
    </row>
    <row r="8" spans="1:4" x14ac:dyDescent="0.45">
      <c r="A8" s="4" t="s">
        <v>262</v>
      </c>
      <c r="B8" s="2">
        <v>9313011.7800000012</v>
      </c>
    </row>
    <row r="9" spans="1:4" x14ac:dyDescent="0.45">
      <c r="A9" s="4"/>
      <c r="B9" s="2"/>
    </row>
    <row r="10" spans="1:4" x14ac:dyDescent="0.45">
      <c r="A10" s="3" t="s">
        <v>300</v>
      </c>
      <c r="B10" t="s">
        <v>301</v>
      </c>
    </row>
    <row r="12" spans="1:4" x14ac:dyDescent="0.45">
      <c r="A12" s="3" t="s">
        <v>4</v>
      </c>
      <c r="B12" t="s">
        <v>277</v>
      </c>
      <c r="D12" t="s">
        <v>285</v>
      </c>
    </row>
    <row r="13" spans="1:4" x14ac:dyDescent="0.45">
      <c r="A13" s="4" t="s">
        <v>43</v>
      </c>
      <c r="B13" s="11">
        <v>0.96745833333333353</v>
      </c>
      <c r="D13" t="s">
        <v>285</v>
      </c>
    </row>
    <row r="14" spans="1:4" x14ac:dyDescent="0.45">
      <c r="A14" s="4" t="s">
        <v>25</v>
      </c>
      <c r="B14" s="11">
        <v>0.96443076923076931</v>
      </c>
      <c r="D14" t="s">
        <v>286</v>
      </c>
    </row>
    <row r="15" spans="1:4" x14ac:dyDescent="0.45">
      <c r="A15" s="4" t="s">
        <v>19</v>
      </c>
      <c r="B15" s="11">
        <v>0.94035384615384621</v>
      </c>
    </row>
    <row r="16" spans="1:4" x14ac:dyDescent="0.45">
      <c r="A16" s="4" t="s">
        <v>30</v>
      </c>
      <c r="B16" s="11">
        <v>0.93914000000000009</v>
      </c>
    </row>
    <row r="17" spans="1:6" x14ac:dyDescent="0.45">
      <c r="A17" s="4" t="s">
        <v>262</v>
      </c>
      <c r="B17" s="11">
        <v>0.95339791666666684</v>
      </c>
    </row>
    <row r="19" spans="1:6" x14ac:dyDescent="0.45">
      <c r="A19" s="3" t="s">
        <v>4</v>
      </c>
      <c r="B19" t="s">
        <v>263</v>
      </c>
    </row>
    <row r="21" spans="1:6" x14ac:dyDescent="0.45">
      <c r="A21" s="3" t="s">
        <v>261</v>
      </c>
      <c r="B21" t="s">
        <v>266</v>
      </c>
      <c r="C21" t="s">
        <v>265</v>
      </c>
      <c r="D21" t="s">
        <v>267</v>
      </c>
      <c r="F21" t="s">
        <v>287</v>
      </c>
    </row>
    <row r="22" spans="1:6" x14ac:dyDescent="0.45">
      <c r="A22" s="4" t="s">
        <v>301</v>
      </c>
      <c r="B22" s="10">
        <v>9313011.7799999975</v>
      </c>
      <c r="C22" s="10">
        <v>5902704.8200000003</v>
      </c>
      <c r="D22" s="10">
        <v>3410306.9799999995</v>
      </c>
      <c r="E22" s="5"/>
      <c r="F22" t="s">
        <v>288</v>
      </c>
    </row>
    <row r="23" spans="1:6" x14ac:dyDescent="0.45">
      <c r="A23" s="4" t="s">
        <v>262</v>
      </c>
      <c r="B23" s="10">
        <v>9313011.7799999975</v>
      </c>
      <c r="C23" s="10">
        <v>5902704.8200000003</v>
      </c>
      <c r="D23" s="10">
        <v>3410306.9799999995</v>
      </c>
      <c r="E23" s="5"/>
      <c r="F23" t="s">
        <v>289</v>
      </c>
    </row>
    <row r="25" spans="1:6" x14ac:dyDescent="0.45">
      <c r="A25" s="4"/>
      <c r="B25" s="10"/>
      <c r="C25" s="10"/>
      <c r="D25" s="10"/>
    </row>
    <row r="26" spans="1:6" x14ac:dyDescent="0.45">
      <c r="A26" s="3" t="s">
        <v>300</v>
      </c>
      <c r="B26" t="s">
        <v>301</v>
      </c>
    </row>
    <row r="28" spans="1:6" x14ac:dyDescent="0.45">
      <c r="A28" s="3" t="s">
        <v>271</v>
      </c>
      <c r="B28" s="3" t="s">
        <v>273</v>
      </c>
    </row>
    <row r="29" spans="1:6" x14ac:dyDescent="0.45">
      <c r="A29" s="3" t="s">
        <v>4</v>
      </c>
      <c r="B29" t="s">
        <v>270</v>
      </c>
      <c r="C29" t="s">
        <v>269</v>
      </c>
      <c r="D29" t="s">
        <v>262</v>
      </c>
    </row>
    <row r="30" spans="1:6" x14ac:dyDescent="0.45">
      <c r="A30" s="4" t="s">
        <v>19</v>
      </c>
      <c r="B30" s="13">
        <v>4</v>
      </c>
      <c r="C30" s="13">
        <v>9</v>
      </c>
      <c r="D30" s="13">
        <v>13</v>
      </c>
    </row>
    <row r="31" spans="1:6" x14ac:dyDescent="0.45">
      <c r="A31" s="4" t="s">
        <v>43</v>
      </c>
      <c r="B31" s="13">
        <v>5</v>
      </c>
      <c r="C31" s="13">
        <v>7</v>
      </c>
      <c r="D31" s="13">
        <v>12</v>
      </c>
      <c r="F31" t="s">
        <v>290</v>
      </c>
    </row>
    <row r="32" spans="1:6" x14ac:dyDescent="0.45">
      <c r="A32" s="4" t="s">
        <v>30</v>
      </c>
      <c r="B32" s="13">
        <v>3</v>
      </c>
      <c r="C32" s="13">
        <v>7</v>
      </c>
      <c r="D32" s="13">
        <v>10</v>
      </c>
      <c r="F32" t="s">
        <v>291</v>
      </c>
    </row>
    <row r="33" spans="1:8" x14ac:dyDescent="0.45">
      <c r="A33" s="4" t="s">
        <v>25</v>
      </c>
      <c r="B33" s="13">
        <v>5</v>
      </c>
      <c r="C33" s="13">
        <v>8</v>
      </c>
      <c r="D33" s="13">
        <v>13</v>
      </c>
    </row>
    <row r="34" spans="1:8" x14ac:dyDescent="0.45">
      <c r="A34" s="4" t="s">
        <v>262</v>
      </c>
      <c r="B34" s="13">
        <v>17</v>
      </c>
      <c r="C34" s="13">
        <v>31</v>
      </c>
      <c r="D34" s="13">
        <v>48</v>
      </c>
    </row>
    <row r="38" spans="1:8" x14ac:dyDescent="0.45">
      <c r="A38" s="3" t="s">
        <v>271</v>
      </c>
      <c r="B38" s="3" t="s">
        <v>272</v>
      </c>
    </row>
    <row r="39" spans="1:8" x14ac:dyDescent="0.45">
      <c r="A39" s="3" t="s">
        <v>4</v>
      </c>
      <c r="B39" t="s">
        <v>275</v>
      </c>
      <c r="C39" t="s">
        <v>274</v>
      </c>
      <c r="D39" t="s">
        <v>276</v>
      </c>
      <c r="E39" t="s">
        <v>262</v>
      </c>
      <c r="G39" t="s">
        <v>278</v>
      </c>
    </row>
    <row r="40" spans="1:8" x14ac:dyDescent="0.45">
      <c r="A40" s="4" t="s">
        <v>19</v>
      </c>
      <c r="B40" s="13"/>
      <c r="C40" s="13">
        <v>1</v>
      </c>
      <c r="D40" s="13">
        <v>12</v>
      </c>
      <c r="E40" s="13">
        <v>13</v>
      </c>
      <c r="G40" t="s">
        <v>279</v>
      </c>
    </row>
    <row r="41" spans="1:8" x14ac:dyDescent="0.45">
      <c r="A41" s="4" t="s">
        <v>43</v>
      </c>
      <c r="B41" s="13">
        <v>1</v>
      </c>
      <c r="C41" s="13"/>
      <c r="D41" s="13">
        <v>11</v>
      </c>
      <c r="E41" s="13">
        <v>12</v>
      </c>
      <c r="G41" t="s">
        <v>280</v>
      </c>
    </row>
    <row r="42" spans="1:8" x14ac:dyDescent="0.45">
      <c r="A42" s="4" t="s">
        <v>30</v>
      </c>
      <c r="B42" s="13">
        <v>1</v>
      </c>
      <c r="C42" s="13"/>
      <c r="D42" s="13">
        <v>9</v>
      </c>
      <c r="E42" s="13">
        <v>10</v>
      </c>
      <c r="G42" t="str" cm="1">
        <f t="array" ref="G42:G44">_xlfn._xlws.FILTER(ndis_dataset!A1:A101, ndis_dataset!T1:T101 = "Expiring")</f>
        <v>P0022</v>
      </c>
      <c r="H42" t="str" cm="1">
        <f t="array" ref="H42:H44">_xlfn.XLOOKUP(_xlfn.ANCHORARRAY(G42), ndis_dataset!A1:A101, ndis_dataset!G1:G101)</f>
        <v>SA-65579549</v>
      </c>
    </row>
    <row r="43" spans="1:8" x14ac:dyDescent="0.45">
      <c r="A43" s="4" t="s">
        <v>25</v>
      </c>
      <c r="B43" s="13">
        <v>1</v>
      </c>
      <c r="C43" s="13"/>
      <c r="D43" s="13">
        <v>12</v>
      </c>
      <c r="E43" s="13">
        <v>13</v>
      </c>
      <c r="G43" t="str">
        <v>P0052</v>
      </c>
      <c r="H43" t="str">
        <v>SA-05917226</v>
      </c>
    </row>
    <row r="44" spans="1:8" x14ac:dyDescent="0.45">
      <c r="A44" s="4" t="s">
        <v>262</v>
      </c>
      <c r="B44" s="13">
        <v>3</v>
      </c>
      <c r="C44" s="13">
        <v>1</v>
      </c>
      <c r="D44" s="13">
        <v>44</v>
      </c>
      <c r="E44" s="13">
        <v>48</v>
      </c>
      <c r="G44" t="str">
        <v>P0069</v>
      </c>
      <c r="H44" t="str">
        <v>SA-73542888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6DA30-3C30-43D2-A66A-39C7A57425E8}">
  <dimension ref="A18:K53"/>
  <sheetViews>
    <sheetView workbookViewId="0">
      <selection activeCell="R25" sqref="R25"/>
    </sheetView>
  </sheetViews>
  <sheetFormatPr defaultRowHeight="14.25" x14ac:dyDescent="0.45"/>
  <sheetData>
    <row r="18" spans="1:10" x14ac:dyDescent="0.45">
      <c r="A18" t="s">
        <v>292</v>
      </c>
      <c r="J18" t="s">
        <v>293</v>
      </c>
    </row>
    <row r="36" spans="1:11" x14ac:dyDescent="0.45">
      <c r="A36" t="s">
        <v>294</v>
      </c>
      <c r="K36" t="s">
        <v>295</v>
      </c>
    </row>
    <row r="53" spans="1:1" x14ac:dyDescent="0.45">
      <c r="A53" t="s">
        <v>296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1A1B7-6A89-4CC1-AD33-2FA09F7742E5}">
  <dimension ref="A1:V6"/>
  <sheetViews>
    <sheetView showGridLines="0" zoomScaleNormal="100" workbookViewId="0">
      <selection activeCell="V30" sqref="V30"/>
    </sheetView>
  </sheetViews>
  <sheetFormatPr defaultRowHeight="14.25" x14ac:dyDescent="0.45"/>
  <cols>
    <col min="22" max="22" width="15.19921875" customWidth="1"/>
  </cols>
  <sheetData>
    <row r="1" spans="1:22" ht="49.5" customHeight="1" x14ac:dyDescent="0.45">
      <c r="A1" s="14" t="s">
        <v>299</v>
      </c>
      <c r="B1" s="14"/>
      <c r="C1" s="14"/>
      <c r="D1" s="14"/>
      <c r="E1" s="14"/>
      <c r="F1" s="14"/>
      <c r="G1" s="14"/>
      <c r="H1" s="14"/>
      <c r="I1" s="14"/>
      <c r="J1" s="14"/>
      <c r="K1" s="14"/>
      <c r="L1" s="14"/>
      <c r="M1" s="14"/>
      <c r="N1" s="14"/>
      <c r="O1" s="14"/>
      <c r="P1" s="14"/>
      <c r="Q1" s="14"/>
      <c r="R1" s="14"/>
      <c r="S1" s="14"/>
      <c r="T1" s="14"/>
      <c r="U1" s="14"/>
      <c r="V1" s="14"/>
    </row>
    <row r="2" spans="1:22" ht="14.25" customHeight="1" x14ac:dyDescent="0.45">
      <c r="A2" s="14"/>
      <c r="B2" s="14"/>
      <c r="C2" s="14"/>
      <c r="D2" s="14"/>
      <c r="E2" s="14"/>
      <c r="F2" s="14"/>
      <c r="G2" s="14"/>
      <c r="H2" s="14"/>
      <c r="I2" s="14"/>
      <c r="J2" s="14"/>
      <c r="K2" s="14"/>
      <c r="L2" s="14"/>
      <c r="M2" s="14"/>
      <c r="N2" s="14"/>
      <c r="O2" s="14"/>
      <c r="P2" s="14"/>
      <c r="Q2" s="14"/>
      <c r="R2" s="14"/>
      <c r="S2" s="14"/>
      <c r="T2" s="14"/>
      <c r="U2" s="14"/>
      <c r="V2" s="14"/>
    </row>
    <row r="3" spans="1:22" ht="14.25" customHeight="1" x14ac:dyDescent="0.45">
      <c r="A3" s="14"/>
      <c r="B3" s="14"/>
      <c r="C3" s="14"/>
      <c r="D3" s="14"/>
      <c r="E3" s="14"/>
      <c r="F3" s="14"/>
      <c r="G3" s="14"/>
      <c r="H3" s="14"/>
      <c r="I3" s="14"/>
      <c r="J3" s="14"/>
      <c r="K3" s="14"/>
      <c r="L3" s="14"/>
      <c r="M3" s="14"/>
      <c r="N3" s="14"/>
      <c r="O3" s="14"/>
      <c r="P3" s="14"/>
      <c r="Q3" s="14"/>
      <c r="R3" s="14"/>
      <c r="S3" s="14"/>
      <c r="T3" s="14"/>
      <c r="U3" s="14"/>
      <c r="V3" s="14"/>
    </row>
    <row r="4" spans="1:22" ht="5.25" customHeight="1" x14ac:dyDescent="0.45">
      <c r="A4" s="14"/>
      <c r="B4" s="14"/>
      <c r="C4" s="14"/>
      <c r="D4" s="14"/>
      <c r="E4" s="14"/>
      <c r="F4" s="14"/>
      <c r="G4" s="14"/>
      <c r="H4" s="14"/>
      <c r="I4" s="14"/>
      <c r="J4" s="14"/>
      <c r="K4" s="14"/>
      <c r="L4" s="14"/>
      <c r="M4" s="14"/>
      <c r="N4" s="14"/>
      <c r="O4" s="14"/>
      <c r="P4" s="14"/>
      <c r="Q4" s="14"/>
      <c r="R4" s="14"/>
      <c r="S4" s="14"/>
      <c r="T4" s="14"/>
      <c r="U4" s="14"/>
      <c r="V4" s="14"/>
    </row>
    <row r="5" spans="1:22" ht="14.25" hidden="1" customHeight="1" x14ac:dyDescent="0.45">
      <c r="A5" s="14"/>
      <c r="B5" s="14"/>
      <c r="C5" s="14"/>
      <c r="D5" s="14"/>
      <c r="E5" s="14"/>
      <c r="F5" s="14"/>
      <c r="G5" s="14"/>
      <c r="H5" s="14"/>
      <c r="I5" s="14"/>
      <c r="J5" s="14"/>
      <c r="K5" s="14"/>
      <c r="L5" s="14"/>
      <c r="M5" s="14"/>
      <c r="N5" s="14"/>
      <c r="O5" s="14"/>
      <c r="P5" s="14"/>
      <c r="Q5" s="14"/>
      <c r="R5" s="14"/>
      <c r="S5" s="14"/>
      <c r="T5" s="14"/>
      <c r="U5" s="14"/>
      <c r="V5" s="14"/>
    </row>
    <row r="6" spans="1:22" ht="14.25" hidden="1" customHeight="1" x14ac:dyDescent="0.45">
      <c r="A6" s="14"/>
      <c r="B6" s="14"/>
      <c r="C6" s="14"/>
      <c r="D6" s="14"/>
      <c r="E6" s="14"/>
      <c r="F6" s="14"/>
      <c r="G6" s="14"/>
      <c r="H6" s="14"/>
      <c r="I6" s="14"/>
      <c r="J6" s="14"/>
      <c r="K6" s="14"/>
      <c r="L6" s="14"/>
      <c r="M6" s="14"/>
      <c r="N6" s="14"/>
      <c r="O6" s="14"/>
      <c r="P6" s="14"/>
      <c r="Q6" s="14"/>
      <c r="R6" s="14"/>
      <c r="S6" s="14"/>
      <c r="T6" s="14"/>
      <c r="U6" s="14"/>
      <c r="V6" s="14"/>
    </row>
  </sheetData>
  <mergeCells count="1">
    <mergeCell ref="A1:V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ndis_dataset</vt:lpstr>
      <vt:lpstr>Working Sheet</vt:lpstr>
      <vt:lpstr>Pivot Tables</vt:lpstr>
      <vt:lpstr>Charts</vt:lpstr>
      <vt:lpstr>Final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Lacerda</dc:creator>
  <cp:lastModifiedBy>Pedro Lacerda</cp:lastModifiedBy>
  <dcterms:created xsi:type="dcterms:W3CDTF">2025-12-02T05:43:32Z</dcterms:created>
  <dcterms:modified xsi:type="dcterms:W3CDTF">2026-01-03T07:37:03Z</dcterms:modified>
</cp:coreProperties>
</file>